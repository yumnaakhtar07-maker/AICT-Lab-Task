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D\Desktop\"/>
    </mc:Choice>
  </mc:AlternateContent>
  <xr:revisionPtr revIDLastSave="0" documentId="8_{7E41E075-542C-4114-9C16-9A79DD87689E}" xr6:coauthVersionLast="47" xr6:coauthVersionMax="47" xr10:uidLastSave="{00000000-0000-0000-0000-000000000000}"/>
  <bookViews>
    <workbookView xWindow="-108" yWindow="-108" windowWidth="23256" windowHeight="12576" xr2:uid="{9AC55DB3-F158-4676-ABDF-11CF1C0A8A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6" i="1" l="1"/>
  <c r="P13" i="1"/>
  <c r="P10" i="1"/>
  <c r="Q16" i="1"/>
  <c r="Q13" i="1"/>
  <c r="Q10" i="1"/>
</calcChain>
</file>

<file path=xl/sharedStrings.xml><?xml version="1.0" encoding="utf-8"?>
<sst xmlns="http://schemas.openxmlformats.org/spreadsheetml/2006/main" count="23" uniqueCount="23">
  <si>
    <t>PERCENTAGE</t>
  </si>
  <si>
    <t>Biology</t>
  </si>
  <si>
    <t>Chemistry</t>
  </si>
  <si>
    <t>Physics</t>
  </si>
  <si>
    <t>Ayesha Sami</t>
  </si>
  <si>
    <t>Mishaal Omamma</t>
  </si>
  <si>
    <t>Smaika Imran</t>
  </si>
  <si>
    <t xml:space="preserve">  Dummy
 University of Tech</t>
  </si>
  <si>
    <t xml:space="preserve"> Calculus I</t>
  </si>
  <si>
    <t xml:space="preserve"> English Literature</t>
  </si>
  <si>
    <t xml:space="preserve"> Fictional
 College of Arts</t>
  </si>
  <si>
    <t xml:space="preserve"> Imaginary
 Institute of Science</t>
  </si>
  <si>
    <t>World History</t>
  </si>
  <si>
    <t>Economics I</t>
  </si>
  <si>
    <t>Creative Writing</t>
  </si>
  <si>
    <t>Max.Marks</t>
  </si>
  <si>
    <t>Average
Marks</t>
  </si>
  <si>
    <t>Course/
Subject</t>
  </si>
  <si>
    <t>Institute Name</t>
  </si>
  <si>
    <t>Roll Number</t>
  </si>
  <si>
    <t>Student Name</t>
  </si>
  <si>
    <t>Introduction to
 Programming</t>
  </si>
  <si>
    <t xml:space="preserve"> Marks
 Obtained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</si>
</sst>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1">
    <xf numFmtId="0" fontId="0" fillId="0" borderId="0" xfId="0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9" fontId="0" fillId="0" borderId="0" xfId="1" applyFont="1"/>
    <xf numFmtId="10" fontId="0" fillId="3" borderId="1" xfId="0" applyNumberFormat="1" applyFill="1" applyBorder="1" applyAlignment="1">
      <alignment horizontal="center" vertical="center"/>
    </xf>
    <xf numFmtId="10" fontId="0" fillId="3" borderId="3" xfId="0" applyNumberFormat="1" applyFill="1" applyBorder="1" applyAlignment="1">
      <alignment horizontal="center" vertical="center"/>
    </xf>
    <xf numFmtId="10" fontId="0" fillId="3" borderId="4" xfId="0" applyNumberFormat="1" applyFill="1" applyBorder="1" applyAlignment="1">
      <alignment horizontal="center" vertical="center"/>
    </xf>
    <xf numFmtId="10" fontId="0" fillId="3" borderId="5" xfId="0" applyNumberFormat="1" applyFill="1" applyBorder="1" applyAlignment="1">
      <alignment horizontal="center" vertical="center"/>
    </xf>
    <xf numFmtId="10" fontId="0" fillId="3" borderId="6" xfId="0" applyNumberFormat="1" applyFill="1" applyBorder="1" applyAlignment="1">
      <alignment horizontal="center" vertical="center"/>
    </xf>
    <xf numFmtId="10" fontId="0" fillId="3" borderId="8" xfId="0" applyNumberFormat="1" applyFill="1" applyBorder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10" fontId="0" fillId="3" borderId="7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D1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EVALUATION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Sheet1!$G$9:$L$18</c:f>
              <c:multiLvlStrCache>
                <c:ptCount val="10"/>
                <c:lvl>
                  <c:pt idx="0">
                    <c:v>Course/
Subject</c:v>
                  </c:pt>
                  <c:pt idx="1">
                    <c:v> Calculus I</c:v>
                  </c:pt>
                  <c:pt idx="2">
                    <c:v> English Literature</c:v>
                  </c:pt>
                  <c:pt idx="3">
                    <c:v>Introduction to
 Programming</c:v>
                  </c:pt>
                  <c:pt idx="4">
                    <c:v>World History</c:v>
                  </c:pt>
                  <c:pt idx="5">
                    <c:v>Economics I</c:v>
                  </c:pt>
                  <c:pt idx="6">
                    <c:v>Creative Writing</c:v>
                  </c:pt>
                  <c:pt idx="7">
                    <c:v>Biology</c:v>
                  </c:pt>
                  <c:pt idx="8">
                    <c:v>Chemistry</c:v>
                  </c:pt>
                  <c:pt idx="9">
                    <c:v>Physics</c:v>
                  </c:pt>
                </c:lvl>
                <c:lvl>
                  <c:pt idx="0">
                    <c:v>Institute Name</c:v>
                  </c:pt>
                  <c:pt idx="1">
                    <c:v>  Dummy
 University of Tech</c:v>
                  </c:pt>
                  <c:pt idx="4">
                    <c:v> Fictional
 College of Arts</c:v>
                  </c:pt>
                  <c:pt idx="7">
                    <c:v> Imaginary
 Institute of Science</c:v>
                  </c:pt>
                </c:lvl>
                <c:lvl>
                  <c:pt idx="0">
                    <c:v>Roll Number</c:v>
                  </c:pt>
                  <c:pt idx="1">
                    <c:v>22</c:v>
                  </c:pt>
                  <c:pt idx="4">
                    <c:v>23</c:v>
                  </c:pt>
                  <c:pt idx="7">
                    <c:v>24</c:v>
                  </c:pt>
                </c:lvl>
                <c:lvl>
                  <c:pt idx="0">
                    <c:v>Student Name</c:v>
                  </c:pt>
                  <c:pt idx="1">
                    <c:v>Ayesha Sami</c:v>
                  </c:pt>
                  <c:pt idx="4">
                    <c:v>Mishaal Omamma</c:v>
                  </c:pt>
                  <c:pt idx="7">
                    <c:v>Smaika Imran</c:v>
                  </c:pt>
                </c:lvl>
              </c:multiLvlStrCache>
            </c:multiLvlStrRef>
          </c:cat>
          <c:val>
            <c:numRef>
              <c:f>Sheet1!$M$9:$M$18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30AB-478D-852F-CE9F882D1EA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Sheet1!$G$9:$L$18</c:f>
              <c:multiLvlStrCache>
                <c:ptCount val="10"/>
                <c:lvl>
                  <c:pt idx="0">
                    <c:v>Course/
Subject</c:v>
                  </c:pt>
                  <c:pt idx="1">
                    <c:v> Calculus I</c:v>
                  </c:pt>
                  <c:pt idx="2">
                    <c:v> English Literature</c:v>
                  </c:pt>
                  <c:pt idx="3">
                    <c:v>Introduction to
 Programming</c:v>
                  </c:pt>
                  <c:pt idx="4">
                    <c:v>World History</c:v>
                  </c:pt>
                  <c:pt idx="5">
                    <c:v>Economics I</c:v>
                  </c:pt>
                  <c:pt idx="6">
                    <c:v>Creative Writing</c:v>
                  </c:pt>
                  <c:pt idx="7">
                    <c:v>Biology</c:v>
                  </c:pt>
                  <c:pt idx="8">
                    <c:v>Chemistry</c:v>
                  </c:pt>
                  <c:pt idx="9">
                    <c:v>Physics</c:v>
                  </c:pt>
                </c:lvl>
                <c:lvl>
                  <c:pt idx="0">
                    <c:v>Institute Name</c:v>
                  </c:pt>
                  <c:pt idx="1">
                    <c:v>  Dummy
 University of Tech</c:v>
                  </c:pt>
                  <c:pt idx="4">
                    <c:v> Fictional
 College of Arts</c:v>
                  </c:pt>
                  <c:pt idx="7">
                    <c:v> Imaginary
 Institute of Science</c:v>
                  </c:pt>
                </c:lvl>
                <c:lvl>
                  <c:pt idx="0">
                    <c:v>Roll Number</c:v>
                  </c:pt>
                  <c:pt idx="1">
                    <c:v>22</c:v>
                  </c:pt>
                  <c:pt idx="4">
                    <c:v>23</c:v>
                  </c:pt>
                  <c:pt idx="7">
                    <c:v>24</c:v>
                  </c:pt>
                </c:lvl>
                <c:lvl>
                  <c:pt idx="0">
                    <c:v>Student Name</c:v>
                  </c:pt>
                  <c:pt idx="1">
                    <c:v>Ayesha Sami</c:v>
                  </c:pt>
                  <c:pt idx="4">
                    <c:v>Mishaal Omamma</c:v>
                  </c:pt>
                  <c:pt idx="7">
                    <c:v>Smaika Imran</c:v>
                  </c:pt>
                </c:lvl>
              </c:multiLvlStrCache>
            </c:multiLvlStrRef>
          </c:cat>
          <c:val>
            <c:numRef>
              <c:f>Sheet1!$N$9:$N$18</c:f>
              <c:numCache>
                <c:formatCode>General</c:formatCode>
                <c:ptCount val="10"/>
                <c:pt idx="0">
                  <c:v>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AB-478D-852F-CE9F882D1EA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Sheet1!$G$9:$L$18</c:f>
              <c:multiLvlStrCache>
                <c:ptCount val="10"/>
                <c:lvl>
                  <c:pt idx="0">
                    <c:v>Course/
Subject</c:v>
                  </c:pt>
                  <c:pt idx="1">
                    <c:v> Calculus I</c:v>
                  </c:pt>
                  <c:pt idx="2">
                    <c:v> English Literature</c:v>
                  </c:pt>
                  <c:pt idx="3">
                    <c:v>Introduction to
 Programming</c:v>
                  </c:pt>
                  <c:pt idx="4">
                    <c:v>World History</c:v>
                  </c:pt>
                  <c:pt idx="5">
                    <c:v>Economics I</c:v>
                  </c:pt>
                  <c:pt idx="6">
                    <c:v>Creative Writing</c:v>
                  </c:pt>
                  <c:pt idx="7">
                    <c:v>Biology</c:v>
                  </c:pt>
                  <c:pt idx="8">
                    <c:v>Chemistry</c:v>
                  </c:pt>
                  <c:pt idx="9">
                    <c:v>Physics</c:v>
                  </c:pt>
                </c:lvl>
                <c:lvl>
                  <c:pt idx="0">
                    <c:v>Institute Name</c:v>
                  </c:pt>
                  <c:pt idx="1">
                    <c:v>  Dummy
 University of Tech</c:v>
                  </c:pt>
                  <c:pt idx="4">
                    <c:v> Fictional
 College of Arts</c:v>
                  </c:pt>
                  <c:pt idx="7">
                    <c:v> Imaginary
 Institute of Science</c:v>
                  </c:pt>
                </c:lvl>
                <c:lvl>
                  <c:pt idx="0">
                    <c:v>Roll Number</c:v>
                  </c:pt>
                  <c:pt idx="1">
                    <c:v>22</c:v>
                  </c:pt>
                  <c:pt idx="4">
                    <c:v>23</c:v>
                  </c:pt>
                  <c:pt idx="7">
                    <c:v>24</c:v>
                  </c:pt>
                </c:lvl>
                <c:lvl>
                  <c:pt idx="0">
                    <c:v>Student Name</c:v>
                  </c:pt>
                  <c:pt idx="1">
                    <c:v>Ayesha Sami</c:v>
                  </c:pt>
                  <c:pt idx="4">
                    <c:v>Mishaal Omamma</c:v>
                  </c:pt>
                  <c:pt idx="7">
                    <c:v>Smaika Imran</c:v>
                  </c:pt>
                </c:lvl>
              </c:multiLvlStrCache>
            </c:multiLvlStrRef>
          </c:cat>
          <c:val>
            <c:numRef>
              <c:f>Sheet1!$O$9:$O$18</c:f>
              <c:numCache>
                <c:formatCode>General</c:formatCode>
                <c:ptCount val="10"/>
                <c:pt idx="0">
                  <c:v>0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78</c:v>
                </c:pt>
                <c:pt idx="5">
                  <c:v>88</c:v>
                </c:pt>
                <c:pt idx="6">
                  <c:v>85</c:v>
                </c:pt>
                <c:pt idx="7">
                  <c:v>92</c:v>
                </c:pt>
                <c:pt idx="8">
                  <c:v>84</c:v>
                </c:pt>
                <c:pt idx="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AB-478D-852F-CE9F882D1EA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Sheet1!$G$9:$L$18</c:f>
              <c:multiLvlStrCache>
                <c:ptCount val="10"/>
                <c:lvl>
                  <c:pt idx="0">
                    <c:v>Course/
Subject</c:v>
                  </c:pt>
                  <c:pt idx="1">
                    <c:v> Calculus I</c:v>
                  </c:pt>
                  <c:pt idx="2">
                    <c:v> English Literature</c:v>
                  </c:pt>
                  <c:pt idx="3">
                    <c:v>Introduction to
 Programming</c:v>
                  </c:pt>
                  <c:pt idx="4">
                    <c:v>World History</c:v>
                  </c:pt>
                  <c:pt idx="5">
                    <c:v>Economics I</c:v>
                  </c:pt>
                  <c:pt idx="6">
                    <c:v>Creative Writing</c:v>
                  </c:pt>
                  <c:pt idx="7">
                    <c:v>Biology</c:v>
                  </c:pt>
                  <c:pt idx="8">
                    <c:v>Chemistry</c:v>
                  </c:pt>
                  <c:pt idx="9">
                    <c:v>Physics</c:v>
                  </c:pt>
                </c:lvl>
                <c:lvl>
                  <c:pt idx="0">
                    <c:v>Institute Name</c:v>
                  </c:pt>
                  <c:pt idx="1">
                    <c:v>  Dummy
 University of Tech</c:v>
                  </c:pt>
                  <c:pt idx="4">
                    <c:v> Fictional
 College of Arts</c:v>
                  </c:pt>
                  <c:pt idx="7">
                    <c:v> Imaginary
 Institute of Science</c:v>
                  </c:pt>
                </c:lvl>
                <c:lvl>
                  <c:pt idx="0">
                    <c:v>Roll Number</c:v>
                  </c:pt>
                  <c:pt idx="1">
                    <c:v>22</c:v>
                  </c:pt>
                  <c:pt idx="4">
                    <c:v>23</c:v>
                  </c:pt>
                  <c:pt idx="7">
                    <c:v>24</c:v>
                  </c:pt>
                </c:lvl>
                <c:lvl>
                  <c:pt idx="0">
                    <c:v>Student Name</c:v>
                  </c:pt>
                  <c:pt idx="1">
                    <c:v>Ayesha Sami</c:v>
                  </c:pt>
                  <c:pt idx="4">
                    <c:v>Mishaal Omamma</c:v>
                  </c:pt>
                  <c:pt idx="7">
                    <c:v>Smaika Imran</c:v>
                  </c:pt>
                </c:lvl>
              </c:multiLvlStrCache>
            </c:multiLvlStrRef>
          </c:cat>
          <c:val>
            <c:numRef>
              <c:f>Sheet1!$P$9:$P$18</c:f>
              <c:numCache>
                <c:formatCode>General</c:formatCode>
                <c:ptCount val="10"/>
                <c:pt idx="0">
                  <c:v>0</c:v>
                </c:pt>
                <c:pt idx="1">
                  <c:v>92.5</c:v>
                </c:pt>
                <c:pt idx="4">
                  <c:v>89</c:v>
                </c:pt>
                <c:pt idx="7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AB-478D-852F-CE9F882D1EA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Sheet1!$G$9:$L$18</c:f>
              <c:multiLvlStrCache>
                <c:ptCount val="10"/>
                <c:lvl>
                  <c:pt idx="0">
                    <c:v>Course/
Subject</c:v>
                  </c:pt>
                  <c:pt idx="1">
                    <c:v> Calculus I</c:v>
                  </c:pt>
                  <c:pt idx="2">
                    <c:v> English Literature</c:v>
                  </c:pt>
                  <c:pt idx="3">
                    <c:v>Introduction to
 Programming</c:v>
                  </c:pt>
                  <c:pt idx="4">
                    <c:v>World History</c:v>
                  </c:pt>
                  <c:pt idx="5">
                    <c:v>Economics I</c:v>
                  </c:pt>
                  <c:pt idx="6">
                    <c:v>Creative Writing</c:v>
                  </c:pt>
                  <c:pt idx="7">
                    <c:v>Biology</c:v>
                  </c:pt>
                  <c:pt idx="8">
                    <c:v>Chemistry</c:v>
                  </c:pt>
                  <c:pt idx="9">
                    <c:v>Physics</c:v>
                  </c:pt>
                </c:lvl>
                <c:lvl>
                  <c:pt idx="0">
                    <c:v>Institute Name</c:v>
                  </c:pt>
                  <c:pt idx="1">
                    <c:v>  Dummy
 University of Tech</c:v>
                  </c:pt>
                  <c:pt idx="4">
                    <c:v> Fictional
 College of Arts</c:v>
                  </c:pt>
                  <c:pt idx="7">
                    <c:v> Imaginary
 Institute of Science</c:v>
                  </c:pt>
                </c:lvl>
                <c:lvl>
                  <c:pt idx="0">
                    <c:v>Roll Number</c:v>
                  </c:pt>
                  <c:pt idx="1">
                    <c:v>22</c:v>
                  </c:pt>
                  <c:pt idx="4">
                    <c:v>23</c:v>
                  </c:pt>
                  <c:pt idx="7">
                    <c:v>24</c:v>
                  </c:pt>
                </c:lvl>
                <c:lvl>
                  <c:pt idx="0">
                    <c:v>Student Name</c:v>
                  </c:pt>
                  <c:pt idx="1">
                    <c:v>Ayesha Sami</c:v>
                  </c:pt>
                  <c:pt idx="4">
                    <c:v>Mishaal Omamma</c:v>
                  </c:pt>
                  <c:pt idx="7">
                    <c:v>Smaika Imran</c:v>
                  </c:pt>
                </c:lvl>
              </c:multiLvlStrCache>
            </c:multiLvlStrRef>
          </c:cat>
          <c:val>
            <c:numRef>
              <c:f>Sheet1!$Q$9:$Q$18</c:f>
              <c:numCache>
                <c:formatCode>0.00%</c:formatCode>
                <c:ptCount val="10"/>
                <c:pt idx="0" formatCode="General">
                  <c:v>0</c:v>
                </c:pt>
                <c:pt idx="1">
                  <c:v>0.85</c:v>
                </c:pt>
                <c:pt idx="4">
                  <c:v>0.78</c:v>
                </c:pt>
                <c:pt idx="7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AB-478D-852F-CE9F882D1EA4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Sheet1!$G$9:$L$18</c:f>
              <c:multiLvlStrCache>
                <c:ptCount val="10"/>
                <c:lvl>
                  <c:pt idx="0">
                    <c:v>Course/
Subject</c:v>
                  </c:pt>
                  <c:pt idx="1">
                    <c:v> Calculus I</c:v>
                  </c:pt>
                  <c:pt idx="2">
                    <c:v> English Literature</c:v>
                  </c:pt>
                  <c:pt idx="3">
                    <c:v>Introduction to
 Programming</c:v>
                  </c:pt>
                  <c:pt idx="4">
                    <c:v>World History</c:v>
                  </c:pt>
                  <c:pt idx="5">
                    <c:v>Economics I</c:v>
                  </c:pt>
                  <c:pt idx="6">
                    <c:v>Creative Writing</c:v>
                  </c:pt>
                  <c:pt idx="7">
                    <c:v>Biology</c:v>
                  </c:pt>
                  <c:pt idx="8">
                    <c:v>Chemistry</c:v>
                  </c:pt>
                  <c:pt idx="9">
                    <c:v>Physics</c:v>
                  </c:pt>
                </c:lvl>
                <c:lvl>
                  <c:pt idx="0">
                    <c:v>Institute Name</c:v>
                  </c:pt>
                  <c:pt idx="1">
                    <c:v>  Dummy
 University of Tech</c:v>
                  </c:pt>
                  <c:pt idx="4">
                    <c:v> Fictional
 College of Arts</c:v>
                  </c:pt>
                  <c:pt idx="7">
                    <c:v> Imaginary
 Institute of Science</c:v>
                  </c:pt>
                </c:lvl>
                <c:lvl>
                  <c:pt idx="0">
                    <c:v>Roll Number</c:v>
                  </c:pt>
                  <c:pt idx="1">
                    <c:v>22</c:v>
                  </c:pt>
                  <c:pt idx="4">
                    <c:v>23</c:v>
                  </c:pt>
                  <c:pt idx="7">
                    <c:v>24</c:v>
                  </c:pt>
                </c:lvl>
                <c:lvl>
                  <c:pt idx="0">
                    <c:v>Student Name</c:v>
                  </c:pt>
                  <c:pt idx="1">
                    <c:v>Ayesha Sami</c:v>
                  </c:pt>
                  <c:pt idx="4">
                    <c:v>Mishaal Omamma</c:v>
                  </c:pt>
                  <c:pt idx="7">
                    <c:v>Smaika Imran</c:v>
                  </c:pt>
                </c:lvl>
              </c:multiLvlStrCache>
            </c:multiLvlStrRef>
          </c:cat>
          <c:val>
            <c:numRef>
              <c:f>Sheet1!$R$9:$R$18</c:f>
              <c:numCache>
                <c:formatCode>0.00%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5-30AB-478D-852F-CE9F882D1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1244440"/>
        <c:axId val="731244800"/>
      </c:barChart>
      <c:catAx>
        <c:axId val="731244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244800"/>
        <c:crosses val="autoZero"/>
        <c:auto val="1"/>
        <c:lblAlgn val="ctr"/>
        <c:lblOffset val="100"/>
        <c:noMultiLvlLbl val="0"/>
      </c:catAx>
      <c:valAx>
        <c:axId val="73124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244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129540</xdr:colOff>
      <xdr:row>0</xdr:row>
      <xdr:rowOff>0</xdr:rowOff>
    </xdr:from>
    <xdr:to>
      <xdr:col>14</xdr:col>
      <xdr:colOff>739140</xdr:colOff>
      <xdr:row>26</xdr:row>
      <xdr:rowOff>160020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0754846-BD22-4174-167B-405C37C9E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13740-8F47-42CE-B98C-39D8CFB94D53}">
  <dimension ref="G8:R19"/>
  <sheetViews>
    <sheetView tabSelected="1" topLeftCell="E1" workbookViewId="0">
      <selection activeCell="G9" sqref="G9:R18"/>
    </sheetView>
  </sheetViews>
  <sheetFormatPr defaultRowHeight="14.4" x14ac:dyDescent="0.3"/>
  <cols>
    <col min="9" max="9" width="12.5546875" customWidth="1"/>
    <col min="13" max="13" width="17.5546875" customWidth="1"/>
    <col min="14" max="14" width="13.77734375" customWidth="1"/>
    <col min="15" max="15" width="20.109375" customWidth="1"/>
    <col min="16" max="16" width="14.44140625" customWidth="1"/>
  </cols>
  <sheetData>
    <row r="8" spans="7:18" ht="15" thickBot="1" x14ac:dyDescent="0.35"/>
    <row r="9" spans="7:18" ht="31.8" thickBot="1" x14ac:dyDescent="0.35">
      <c r="G9" s="34" t="s">
        <v>20</v>
      </c>
      <c r="H9" s="35"/>
      <c r="I9" s="33" t="s">
        <v>19</v>
      </c>
      <c r="J9" s="30" t="s">
        <v>18</v>
      </c>
      <c r="K9" s="31"/>
      <c r="L9" s="10" t="s">
        <v>17</v>
      </c>
      <c r="M9" s="11"/>
      <c r="N9" s="32" t="s">
        <v>15</v>
      </c>
      <c r="O9" s="12" t="s">
        <v>22</v>
      </c>
      <c r="P9" s="12" t="s">
        <v>16</v>
      </c>
      <c r="Q9" s="30" t="s">
        <v>0</v>
      </c>
      <c r="R9" s="31"/>
    </row>
    <row r="10" spans="7:18" x14ac:dyDescent="0.3">
      <c r="G10" s="16" t="s">
        <v>4</v>
      </c>
      <c r="H10" s="17"/>
      <c r="I10" s="24">
        <v>22</v>
      </c>
      <c r="J10" s="36" t="s">
        <v>7</v>
      </c>
      <c r="K10" s="37"/>
      <c r="L10" s="5" t="s">
        <v>8</v>
      </c>
      <c r="M10" s="6"/>
      <c r="N10" s="13">
        <v>100</v>
      </c>
      <c r="O10" s="13">
        <v>85</v>
      </c>
      <c r="P10" s="27">
        <f>AVERAGE(N10:O10)</f>
        <v>92.5</v>
      </c>
      <c r="Q10" s="43">
        <f>O10/N10</f>
        <v>0.85</v>
      </c>
      <c r="R10" s="44"/>
    </row>
    <row r="11" spans="7:18" x14ac:dyDescent="0.3">
      <c r="G11" s="18"/>
      <c r="H11" s="19"/>
      <c r="I11" s="25"/>
      <c r="J11" s="38"/>
      <c r="K11" s="39"/>
      <c r="L11" s="7" t="s">
        <v>9</v>
      </c>
      <c r="M11" s="8"/>
      <c r="N11" s="14">
        <v>100</v>
      </c>
      <c r="O11" s="14">
        <v>95</v>
      </c>
      <c r="P11" s="28"/>
      <c r="Q11" s="45"/>
      <c r="R11" s="46"/>
    </row>
    <row r="12" spans="7:18" ht="14.4" customHeight="1" thickBot="1" x14ac:dyDescent="0.35">
      <c r="G12" s="20"/>
      <c r="H12" s="21"/>
      <c r="I12" s="26"/>
      <c r="J12" s="40"/>
      <c r="K12" s="41"/>
      <c r="L12" s="3" t="s">
        <v>21</v>
      </c>
      <c r="M12" s="9"/>
      <c r="N12" s="15">
        <v>100</v>
      </c>
      <c r="O12" s="15">
        <v>90</v>
      </c>
      <c r="P12" s="29"/>
      <c r="Q12" s="47"/>
      <c r="R12" s="48"/>
    </row>
    <row r="13" spans="7:18" x14ac:dyDescent="0.3">
      <c r="G13" s="16" t="s">
        <v>5</v>
      </c>
      <c r="H13" s="17"/>
      <c r="I13" s="24">
        <v>23</v>
      </c>
      <c r="J13" s="36" t="s">
        <v>10</v>
      </c>
      <c r="K13" s="37"/>
      <c r="L13" s="5" t="s">
        <v>12</v>
      </c>
      <c r="M13" s="6"/>
      <c r="N13" s="13">
        <v>100</v>
      </c>
      <c r="O13" s="13">
        <v>78</v>
      </c>
      <c r="P13" s="27">
        <f>AVERAGE(N13:O13)</f>
        <v>89</v>
      </c>
      <c r="Q13" s="43">
        <f>(O13/N13)</f>
        <v>0.78</v>
      </c>
      <c r="R13" s="44"/>
    </row>
    <row r="14" spans="7:18" x14ac:dyDescent="0.3">
      <c r="G14" s="18"/>
      <c r="H14" s="19"/>
      <c r="I14" s="25"/>
      <c r="J14" s="38"/>
      <c r="K14" s="39"/>
      <c r="L14" s="1" t="s">
        <v>13</v>
      </c>
      <c r="M14" s="8"/>
      <c r="N14" s="14">
        <v>100</v>
      </c>
      <c r="O14" s="14">
        <v>88</v>
      </c>
      <c r="P14" s="28"/>
      <c r="Q14" s="45"/>
      <c r="R14" s="46"/>
    </row>
    <row r="15" spans="7:18" ht="15" thickBot="1" x14ac:dyDescent="0.35">
      <c r="G15" s="20"/>
      <c r="H15" s="21"/>
      <c r="I15" s="26"/>
      <c r="J15" s="40"/>
      <c r="K15" s="41"/>
      <c r="L15" s="3" t="s">
        <v>14</v>
      </c>
      <c r="M15" s="9"/>
      <c r="N15" s="15">
        <v>100</v>
      </c>
      <c r="O15" s="15">
        <v>85</v>
      </c>
      <c r="P15" s="29"/>
      <c r="Q15" s="47"/>
      <c r="R15" s="48"/>
    </row>
    <row r="16" spans="7:18" x14ac:dyDescent="0.3">
      <c r="G16" s="18" t="s">
        <v>6</v>
      </c>
      <c r="H16" s="22"/>
      <c r="I16" s="24">
        <v>24</v>
      </c>
      <c r="J16" s="36" t="s">
        <v>11</v>
      </c>
      <c r="K16" s="37"/>
      <c r="L16" s="2" t="s">
        <v>1</v>
      </c>
      <c r="M16" s="2"/>
      <c r="N16" s="13">
        <v>100</v>
      </c>
      <c r="O16" s="13">
        <v>92</v>
      </c>
      <c r="P16" s="27">
        <f>AVERAGE(N16:O16)</f>
        <v>96</v>
      </c>
      <c r="Q16" s="49">
        <f>O16/N16</f>
        <v>0.92</v>
      </c>
      <c r="R16" s="46"/>
    </row>
    <row r="17" spans="7:18" x14ac:dyDescent="0.3">
      <c r="G17" s="18"/>
      <c r="H17" s="22"/>
      <c r="I17" s="25"/>
      <c r="J17" s="38"/>
      <c r="K17" s="39"/>
      <c r="L17" s="2" t="s">
        <v>2</v>
      </c>
      <c r="M17" s="2"/>
      <c r="N17" s="14">
        <v>100</v>
      </c>
      <c r="O17" s="14">
        <v>84</v>
      </c>
      <c r="P17" s="28"/>
      <c r="Q17" s="49"/>
      <c r="R17" s="46"/>
    </row>
    <row r="18" spans="7:18" ht="15" thickBot="1" x14ac:dyDescent="0.35">
      <c r="G18" s="20"/>
      <c r="H18" s="23"/>
      <c r="I18" s="26"/>
      <c r="J18" s="40"/>
      <c r="K18" s="41"/>
      <c r="L18" s="4" t="s">
        <v>3</v>
      </c>
      <c r="M18" s="4"/>
      <c r="N18" s="15">
        <v>100</v>
      </c>
      <c r="O18" s="15">
        <v>90</v>
      </c>
      <c r="P18" s="29"/>
      <c r="Q18" s="50"/>
      <c r="R18" s="48"/>
    </row>
    <row r="19" spans="7:18" x14ac:dyDescent="0.3">
      <c r="Q19" s="42"/>
    </row>
  </sheetData>
  <mergeCells count="28">
    <mergeCell ref="P16:P18"/>
    <mergeCell ref="L17:M17"/>
    <mergeCell ref="L18:M18"/>
    <mergeCell ref="P13:P15"/>
    <mergeCell ref="Q13:R15"/>
    <mergeCell ref="L14:M14"/>
    <mergeCell ref="L15:M15"/>
    <mergeCell ref="Q16:R18"/>
    <mergeCell ref="G13:H15"/>
    <mergeCell ref="I13:I15"/>
    <mergeCell ref="J13:K15"/>
    <mergeCell ref="L13:M13"/>
    <mergeCell ref="G16:H18"/>
    <mergeCell ref="I16:I18"/>
    <mergeCell ref="J16:K18"/>
    <mergeCell ref="L16:M16"/>
    <mergeCell ref="G9:H9"/>
    <mergeCell ref="J9:K9"/>
    <mergeCell ref="L9:M9"/>
    <mergeCell ref="Q9:R9"/>
    <mergeCell ref="G10:H12"/>
    <mergeCell ref="I10:I12"/>
    <mergeCell ref="J10:K12"/>
    <mergeCell ref="L10:M10"/>
    <mergeCell ref="P10:P12"/>
    <mergeCell ref="Q10:R12"/>
    <mergeCell ref="L11:M11"/>
    <mergeCell ref="L12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FSD</dc:creator>
  <cp:lastModifiedBy>FSD</cp:lastModifiedBy>
  <dcterms:created xsi:type="dcterms:W3CDTF">2025-10-14T18:36:52Z</dcterms:created>
  <dcterms:modified xsi:type="dcterms:W3CDTF">2025-10-16T08:10:43Z</dcterms:modified>
</cp:coreProperties>
</file>