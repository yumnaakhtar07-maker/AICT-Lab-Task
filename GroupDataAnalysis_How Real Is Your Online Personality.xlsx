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9D32B955-3028-480B-8A53-E12AEE2917B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16" i="1" l="1"/>
  <c r="N312" i="1" s="1"/>
  <c r="M258" i="1"/>
  <c r="N316" i="1"/>
  <c r="N314" i="1"/>
  <c r="N310" i="1"/>
  <c r="N284" i="1"/>
  <c r="N282" i="1"/>
  <c r="O246" i="1"/>
  <c r="O248" i="1"/>
  <c r="O250" i="1"/>
  <c r="O252" i="1"/>
  <c r="O254" i="1"/>
  <c r="N220" i="1"/>
  <c r="N218" i="1"/>
</calcChain>
</file>

<file path=xl/sharedStrings.xml><?xml version="1.0" encoding="utf-8"?>
<sst xmlns="http://schemas.openxmlformats.org/spreadsheetml/2006/main" count="2836" uniqueCount="570">
  <si>
    <t>nusratsarfraz498@gmail.com</t>
  </si>
  <si>
    <t>yumnaakhtar07@gmail.com</t>
  </si>
  <si>
    <t>step.sahlahbinteakhtar@gmail.com</t>
  </si>
  <si>
    <t>xmiqaimran1@gmail.com</t>
  </si>
  <si>
    <t>alishaniazi111@gmail.com</t>
  </si>
  <si>
    <t>hadi7784909@gmail.com</t>
  </si>
  <si>
    <t>hafizakhtarpcc@gmail.com</t>
  </si>
  <si>
    <t>aimanmustafa765@gmail.com</t>
  </si>
  <si>
    <t>kamrannisha997@gmail.com</t>
  </si>
  <si>
    <t>zainebbasif@gmail.com</t>
  </si>
  <si>
    <t>manahilsabir55@gmail.com</t>
  </si>
  <si>
    <t>bhattisarfraz492@gmail.com</t>
  </si>
  <si>
    <t>u7214973@gmail.com</t>
  </si>
  <si>
    <t>muhammadameen7240@gmail.com</t>
  </si>
  <si>
    <t>omamamishal286@gmail.com</t>
  </si>
  <si>
    <t>amanmisbah350@gmail.com</t>
  </si>
  <si>
    <t>hadza123456@gmail.com</t>
  </si>
  <si>
    <t>aishasarwaradv@gmail.com</t>
  </si>
  <si>
    <t>adeelabid126c@gmail.com</t>
  </si>
  <si>
    <t>wusqaakhtar@gmail.com</t>
  </si>
  <si>
    <t>noorakmal578@gmail.com</t>
  </si>
  <si>
    <t>hoorab944@gmail.com</t>
  </si>
  <si>
    <t>aimenatif461@gmail.com</t>
  </si>
  <si>
    <t>saniagill292@gmail.com</t>
  </si>
  <si>
    <t>emanghazanfar2006@gmail.com</t>
  </si>
  <si>
    <t>farhan@pifd.edu.pk</t>
  </si>
  <si>
    <t>mahnoorandaleeb@gmail.com</t>
  </si>
  <si>
    <t>bblah3041@gmail.com</t>
  </si>
  <si>
    <t>fahimurrahman76@gmail.com</t>
  </si>
  <si>
    <t>sarasarfraz113@gmail.com</t>
  </si>
  <si>
    <t>wrgganja@gmail.com</t>
  </si>
  <si>
    <t>sabiakashif9@gmail.com</t>
  </si>
  <si>
    <t>abubakrw135@gmail.com</t>
  </si>
  <si>
    <t>kashafjavedharal@gmail.com</t>
  </si>
  <si>
    <t>zahidhamza392006@gmail.com</t>
  </si>
  <si>
    <t>zainab.aamir345@gmail.com</t>
  </si>
  <si>
    <t>nazam726hani@gmail.com</t>
  </si>
  <si>
    <t>fatimaakbarali86@gmail.com</t>
  </si>
  <si>
    <t>itxfatima88294@gmail.com</t>
  </si>
  <si>
    <t>ahsankhangurmani123@gmail.com</t>
  </si>
  <si>
    <t>aimankhalid8122@gmail.com</t>
  </si>
  <si>
    <t>abdulahad9656@gmail.com</t>
  </si>
  <si>
    <t>mubeenfatimaz988@gmail.com</t>
  </si>
  <si>
    <t>danishhameed993@gmail.com</t>
  </si>
  <si>
    <t>hirafatima1624@gmail.com</t>
  </si>
  <si>
    <t>itshuraira398@gmail.com</t>
  </si>
  <si>
    <t>elafsaqib39@gmail.com</t>
  </si>
  <si>
    <t>dawoodsafdar812@gmail.com</t>
  </si>
  <si>
    <t>imamatariq21@gmail.com</t>
  </si>
  <si>
    <t>pegehan747chnaxa@gmail.com</t>
  </si>
  <si>
    <t>alishan31545@gmail.com</t>
  </si>
  <si>
    <t>aliharana2007@gmail.com</t>
  </si>
  <si>
    <t>zoyaelyas8@gmail.com</t>
  </si>
  <si>
    <t>hiray537@gmail.com</t>
  </si>
  <si>
    <t>adnansamikhan41@gmail.com</t>
  </si>
  <si>
    <t>meerabjaved036@gmail.com</t>
  </si>
  <si>
    <t>zssb583@gmail.com</t>
  </si>
  <si>
    <t>syd.asim@gmail.com</t>
  </si>
  <si>
    <t>eccllibrary@gmail.com</t>
  </si>
  <si>
    <t>zainmirza2007@gmail.com</t>
  </si>
  <si>
    <t>bhattirabnawaz902@gmail.com</t>
  </si>
  <si>
    <t>abrarrandhawa88@gmail.com</t>
  </si>
  <si>
    <t>laibaahmad466@gmail.com</t>
  </si>
  <si>
    <t>buntybro54@gmail.com</t>
  </si>
  <si>
    <t>bismazafariqbal80@gmail.com</t>
  </si>
  <si>
    <t>hasanranjha01@gmail.com</t>
  </si>
  <si>
    <t>alishbashaheen417@gmail.com</t>
  </si>
  <si>
    <t>aleenamazhar56@gmail.com</t>
  </si>
  <si>
    <t>zoyaarshad003@gmail.com</t>
  </si>
  <si>
    <t>reeshashafiq5@gmail.com</t>
  </si>
  <si>
    <t>saadhassan194772@gmail.com</t>
  </si>
  <si>
    <t>sufyanpathan475@gmail.com</t>
  </si>
  <si>
    <t>kashuu03@gmail.com</t>
  </si>
  <si>
    <t>syedafatimakarim123@gmail.com</t>
  </si>
  <si>
    <t>ahadi5893@gmail.com</t>
  </si>
  <si>
    <t>uswaiman197@gmail.com</t>
  </si>
  <si>
    <t>imanirfan504@gmail.com</t>
  </si>
  <si>
    <t>javsheraz1208@gmail.com</t>
  </si>
  <si>
    <t>sandilaman1925@gmail.com</t>
  </si>
  <si>
    <t>khadijazahid.cse@gmail.com</t>
  </si>
  <si>
    <t>deejaaqureshi@gmail.com</t>
  </si>
  <si>
    <t>izmasaeed584@gmail.com</t>
  </si>
  <si>
    <t>nahdianoor815@gmail.com</t>
  </si>
  <si>
    <t>aabi.naz09@gmail.com</t>
  </si>
  <si>
    <t>saleemsaba613@gmail.com</t>
  </si>
  <si>
    <t>m.hammad125936748@gmail.com</t>
  </si>
  <si>
    <t>kamiash817@gmail.com</t>
  </si>
  <si>
    <t>www.shahidashahid213@gmail.com</t>
  </si>
  <si>
    <t>saim8000135@gmail.com</t>
  </si>
  <si>
    <t>abdulkhaliqscet@gmail.com</t>
  </si>
  <si>
    <t>daniyalamir62@gmail.com</t>
  </si>
  <si>
    <t>zahrahijabi2837@gmail.com</t>
  </si>
  <si>
    <t>agabhatti3@gmail.com</t>
  </si>
  <si>
    <t>abdullahbutt199776@gmail.com</t>
  </si>
  <si>
    <t>ayesharasheed368@gmail.com</t>
  </si>
  <si>
    <t>hooriyaatehreem06@gmail.com</t>
  </si>
  <si>
    <t>nonamexyzom@gmail.com</t>
  </si>
  <si>
    <t>noorrfatima2007@gmail.com</t>
  </si>
  <si>
    <t>miraalmirza799@gmail.com</t>
  </si>
  <si>
    <t>marium10678@gmail.com</t>
  </si>
  <si>
    <t>khannaeem.nk145@gmail.com</t>
  </si>
  <si>
    <t>as9371455@gmail.com</t>
  </si>
  <si>
    <t>mugheesfaisal1707@gmail.com</t>
  </si>
  <si>
    <t>halimamajid2025@gmail.com</t>
  </si>
  <si>
    <t>mahnoorasghar666@gmail.com</t>
  </si>
  <si>
    <t>ayeshaadnan13062008@gmail.com</t>
  </si>
  <si>
    <t>umaizaniazi@gmail.com</t>
  </si>
  <si>
    <t>zahranoorulain867@gmail.com</t>
  </si>
  <si>
    <t>uroojiftikhar718@gmail.com</t>
  </si>
  <si>
    <t>nafzahid0301@gmail.com</t>
  </si>
  <si>
    <t>ayeshausman82010@gmail.com</t>
  </si>
  <si>
    <t>waniayaseen30@gmail.com</t>
  </si>
  <si>
    <t>imaha1876@gmail.com</t>
  </si>
  <si>
    <t>aneeqaaiman01@gmail.com</t>
  </si>
  <si>
    <t>imgujjar33@gmail.com</t>
  </si>
  <si>
    <t>abeeramudassar348@gmail.com</t>
  </si>
  <si>
    <t>dillmuhamad057@gmail.com</t>
  </si>
  <si>
    <t>muizzch39@gmail.com</t>
  </si>
  <si>
    <t>95abrishfatima@gmail.com</t>
  </si>
  <si>
    <t>umair.amna23@gmail.com</t>
  </si>
  <si>
    <t>fatimarani03ict@gmail.com</t>
  </si>
  <si>
    <t>zainabanjum0000@gmail.com</t>
  </si>
  <si>
    <t>shanzahmazhar2006@gmail.com</t>
  </si>
  <si>
    <t>hajarashan91@gmail.com</t>
  </si>
  <si>
    <t>abeeshaahmad9@gmail.com</t>
  </si>
  <si>
    <t>manahiln014@gmail.com</t>
  </si>
  <si>
    <t>yaseenmaryam39@gmail.com</t>
  </si>
  <si>
    <t>tariqamara29@gmail.com</t>
  </si>
  <si>
    <t>fatimafazal1267@gmail.com</t>
  </si>
  <si>
    <t>iqra1171khan@gmail.com</t>
  </si>
  <si>
    <t>scamback79@gmail.com</t>
  </si>
  <si>
    <t>ijazhussaim41@gmail.com</t>
  </si>
  <si>
    <t>salmanishaq25@gmail.com</t>
  </si>
  <si>
    <t>mahnoorfatima3414@gmail.com</t>
  </si>
  <si>
    <t>aleemsadaf1@gmail.com</t>
  </si>
  <si>
    <t>emangohar31@gmail.com</t>
  </si>
  <si>
    <t>am9815661@gmail.com</t>
  </si>
  <si>
    <t>umme.rumman2004@gmail.com</t>
  </si>
  <si>
    <t>minahilshah474@gmail.com</t>
  </si>
  <si>
    <t>zubdyashraf@gmail.com</t>
  </si>
  <si>
    <t>hamnagohar059@gmail.com</t>
  </si>
  <si>
    <t>umehabibatarar786@gmail.com</t>
  </si>
  <si>
    <t>mahergmahermaher316@gmail.com</t>
  </si>
  <si>
    <t>ahmadamin1005@gmail.com</t>
  </si>
  <si>
    <t>itxwarraich12@gmail.com</t>
  </si>
  <si>
    <t>zarnainzafar7@gmail.com</t>
  </si>
  <si>
    <t>ummehabiba17241724@gmail.com</t>
  </si>
  <si>
    <t>nuranwar5757@gmail.com</t>
  </si>
  <si>
    <t>ysakuh654@gmail.com</t>
  </si>
  <si>
    <t>hafsashafique817@gmail.com</t>
  </si>
  <si>
    <t>ranatalhasarwar117@gmail.com</t>
  </si>
  <si>
    <t>fm5413408@gmail.com</t>
  </si>
  <si>
    <t>nayyabbuttar@gmail.com</t>
  </si>
  <si>
    <t>abdulrehmanuet786@gmail.com</t>
  </si>
  <si>
    <t>ranasardarkhan21@gmail.com</t>
  </si>
  <si>
    <t>rimshayousaf600@gmail.com</t>
  </si>
  <si>
    <t>nawabiiii01@gmail.com</t>
  </si>
  <si>
    <t>cmaryam865@gmail.com</t>
  </si>
  <si>
    <t>aaina.yaqoob10@gmail.com</t>
  </si>
  <si>
    <t>syeda17112004@gmail.com</t>
  </si>
  <si>
    <t>meloambrose14@gmail.com</t>
  </si>
  <si>
    <t>pastacoffeeandbooks@gmail.com</t>
  </si>
  <si>
    <t>arwanasir2007@gmail.com</t>
  </si>
  <si>
    <t>adinah.r.aziz@gmail.com</t>
  </si>
  <si>
    <t>landonking640@gmail.com</t>
  </si>
  <si>
    <t>meerabashraf46@gmail.com</t>
  </si>
  <si>
    <t>areebaqayyum34@gmail.com</t>
  </si>
  <si>
    <t>ihtishammaryam@gmail.com</t>
  </si>
  <si>
    <t>jzaveeba@gmail.com</t>
  </si>
  <si>
    <t>munibaatherhuzaifahamza@gmail.com</t>
  </si>
  <si>
    <t>a04611344@gmail.com</t>
  </si>
  <si>
    <t>zaingondal9651@gmail.com</t>
  </si>
  <si>
    <t>tanvirahmad966@gmail.com</t>
  </si>
  <si>
    <t>jawiriaahmadjawiriaahmad@gmail.com</t>
  </si>
  <si>
    <t>guriyanaeem2@gmail.com</t>
  </si>
  <si>
    <t>nureazerking@gmail.com</t>
  </si>
  <si>
    <t>majabdul650@gmail.com</t>
  </si>
  <si>
    <t>nffaisal2006@gmail.com</t>
  </si>
  <si>
    <t>bushraamjad921@gmail.com</t>
  </si>
  <si>
    <t>arbazkhan764545@gmail.com</t>
  </si>
  <si>
    <t>minahil.sajjad2008@gmail.com</t>
  </si>
  <si>
    <t>muskanshaikh4980@gmail.com</t>
  </si>
  <si>
    <t>seharmansab23@gmail.com</t>
  </si>
  <si>
    <t>umairmirza10@gmail.com</t>
  </si>
  <si>
    <t>moontan2013@gmail.com</t>
  </si>
  <si>
    <t>sanahumayun964@gmail.com</t>
  </si>
  <si>
    <t>adeenamoazzam@gmail.com</t>
  </si>
  <si>
    <t>soaibamuzahir@gmail.com</t>
  </si>
  <si>
    <t>noormustab5@gmail.com</t>
  </si>
  <si>
    <t>aqsamunir262@gmail.com</t>
  </si>
  <si>
    <t>Under 18</t>
  </si>
  <si>
    <t>31-45</t>
  </si>
  <si>
    <t>18-25</t>
  </si>
  <si>
    <t>35+</t>
  </si>
  <si>
    <t>26-35</t>
  </si>
  <si>
    <t>Username</t>
  </si>
  <si>
    <t xml:space="preserve">Age : </t>
  </si>
  <si>
    <t>Gender :</t>
  </si>
  <si>
    <t>Male</t>
  </si>
  <si>
    <t>Female</t>
  </si>
  <si>
    <t>Occupation :</t>
  </si>
  <si>
    <t>Teacher/Professor</t>
  </si>
  <si>
    <t>Student</t>
  </si>
  <si>
    <t>Government Employee</t>
  </si>
  <si>
    <t>Un-Employed</t>
  </si>
  <si>
    <t>Private job</t>
  </si>
  <si>
    <t>Engineer</t>
  </si>
  <si>
    <t>Others</t>
  </si>
  <si>
    <t>Doctor</t>
  </si>
  <si>
    <t>Influencer</t>
  </si>
  <si>
    <t>How often do you use Social media?</t>
  </si>
  <si>
    <t>1-3 hours per day</t>
  </si>
  <si>
    <t>3-5 hours per day</t>
  </si>
  <si>
    <t>More than 5 hours per day</t>
  </si>
  <si>
    <t>Less than 1 hour per day</t>
  </si>
  <si>
    <t>Which platform do you use the most?</t>
  </si>
  <si>
    <t>Facebook;TikTok;YouTube</t>
  </si>
  <si>
    <t>Snapchat;Facebook;WhatsApp</t>
  </si>
  <si>
    <t>Instagram</t>
  </si>
  <si>
    <t>Instagram;Snapchat;WhatsApp</t>
  </si>
  <si>
    <t>Snapchat;YouTube;WhatsApp</t>
  </si>
  <si>
    <t>Facebook</t>
  </si>
  <si>
    <t>Instagram;YouTube</t>
  </si>
  <si>
    <t>Instagram;YouTube;WhatsApp</t>
  </si>
  <si>
    <t>TikTok;YouTube;WhatsApp</t>
  </si>
  <si>
    <t>Facebook;YouTube;WhatsApp</t>
  </si>
  <si>
    <t>Instagram;WhatsApp</t>
  </si>
  <si>
    <t>Snapchat;X (Twitter)</t>
  </si>
  <si>
    <t>Instagram;WhatsApp;Others</t>
  </si>
  <si>
    <t>Instagram;TikTok;WhatsApp</t>
  </si>
  <si>
    <t>Instagram;Facebook;YouTube;WhatsApp</t>
  </si>
  <si>
    <t>YouTube;WhatsApp</t>
  </si>
  <si>
    <t>YouTube</t>
  </si>
  <si>
    <t>Instagram;TikTok</t>
  </si>
  <si>
    <t>WhatsApp</t>
  </si>
  <si>
    <t>Instagram;Snapchat;TikTok;YouTube;WhatsApp</t>
  </si>
  <si>
    <t>YouTube;WhatsApp;Others</t>
  </si>
  <si>
    <t>X (Twitter)</t>
  </si>
  <si>
    <t>Instagram;Snapchat;Facebook;TikTok;YouTube;WhatsApp</t>
  </si>
  <si>
    <t>TikTok</t>
  </si>
  <si>
    <t>Instagram;Snapchat</t>
  </si>
  <si>
    <t>Instagram;Facebook;TikTok;X (Twitter)</t>
  </si>
  <si>
    <t>Facebook;WhatsApp</t>
  </si>
  <si>
    <t>Instagram;Linkedln;Others</t>
  </si>
  <si>
    <t>Instagram;TikTok;YouTube</t>
  </si>
  <si>
    <t>Instagram;YouTube;WhatsApp;Others</t>
  </si>
  <si>
    <t>Instagram;Snapchat;YouTube</t>
  </si>
  <si>
    <t>Instagram;Facebook</t>
  </si>
  <si>
    <t>Instagram;TikTok;Others</t>
  </si>
  <si>
    <t>Instagram;Facebook;WhatsApp</t>
  </si>
  <si>
    <t>Instagram;Facebook;TikTok;Linkedln;YouTube;WhatsApp</t>
  </si>
  <si>
    <t>Instagram;Snapchat;YouTube;WhatsApp</t>
  </si>
  <si>
    <t>TikTok;WhatsApp</t>
  </si>
  <si>
    <t>Instagram;Snapchat;YouTube;WhatsApp;Others</t>
  </si>
  <si>
    <t>Linkedln;YouTube;WhatsApp</t>
  </si>
  <si>
    <t>Instagram;Snapchat;TikTok;WhatsApp</t>
  </si>
  <si>
    <t>Instagram;Snapchat;WhatsApp;Others</t>
  </si>
  <si>
    <t>Instagram;TikTok;X (Twitter);WhatsApp</t>
  </si>
  <si>
    <t>Snapchat</t>
  </si>
  <si>
    <t>X (Twitter);YouTube</t>
  </si>
  <si>
    <t>What motivates you to use social media everyday?(e.g. to kill time , to share my creativity, etc.)</t>
  </si>
  <si>
    <t xml:space="preserve">To kill Time </t>
  </si>
  <si>
    <t>To kill time</t>
  </si>
  <si>
    <t>It's fun</t>
  </si>
  <si>
    <t xml:space="preserve">To kill free time </t>
  </si>
  <si>
    <t>to kill time</t>
  </si>
  <si>
    <t>To relax my  mind</t>
  </si>
  <si>
    <t>To get rid of my hectic routine</t>
  </si>
  <si>
    <t xml:space="preserve">To share my creativity </t>
  </si>
  <si>
    <t>Sometimes to get some ideas about creating things , sometimes to remove sadness</t>
  </si>
  <si>
    <t xml:space="preserve">Creativity </t>
  </si>
  <si>
    <t>for time pass</t>
  </si>
  <si>
    <t>Social media boasts up mood and give motivation in every aspect of life through reels etc</t>
  </si>
  <si>
    <t xml:space="preserve">to relax myself </t>
  </si>
  <si>
    <t xml:space="preserve">In Free time </t>
  </si>
  <si>
    <t>To pass time</t>
  </si>
  <si>
    <t xml:space="preserve">Nothing motivates but just of addiction. </t>
  </si>
  <si>
    <t xml:space="preserve">Various personal, social and psychological factors motivate people to use social media </t>
  </si>
  <si>
    <t xml:space="preserve">To get information about current affairs </t>
  </si>
  <si>
    <t xml:space="preserve">Staying connected, entertainment </t>
  </si>
  <si>
    <t>kill time</t>
  </si>
  <si>
    <t xml:space="preserve">Kill time.... </t>
  </si>
  <si>
    <t xml:space="preserve">Both </t>
  </si>
  <si>
    <t>For my need or want.</t>
  </si>
  <si>
    <t>addiction</t>
  </si>
  <si>
    <t>It helps to communication and for study purpose but it depends to you what way to used</t>
  </si>
  <si>
    <t xml:space="preserve">For some knowledge </t>
  </si>
  <si>
    <t>motivation about games</t>
  </si>
  <si>
    <t xml:space="preserve">To learn about new things or related to study </t>
  </si>
  <si>
    <t>To kill time and lessen the feeling of boredom and emptiness in me</t>
  </si>
  <si>
    <t xml:space="preserve">To communicate </t>
  </si>
  <si>
    <t>To remain update to the world</t>
  </si>
  <si>
    <t xml:space="preserve">Nothing </t>
  </si>
  <si>
    <t>pass time and connect with others</t>
  </si>
  <si>
    <t xml:space="preserve">Entertainment+ learning </t>
  </si>
  <si>
    <t xml:space="preserve">To talk to my friends and for entertainment </t>
  </si>
  <si>
    <t>To communicate with others for study and other purposes</t>
  </si>
  <si>
    <t>to kill time as well as to source of enjoymnt for study purpose also</t>
  </si>
  <si>
    <t xml:space="preserve">nothing </t>
  </si>
  <si>
    <t xml:space="preserve">To Kill Time </t>
  </si>
  <si>
    <t>To communicate with others and for searching things</t>
  </si>
  <si>
    <t xml:space="preserve">For fun and entertainment </t>
  </si>
  <si>
    <t xml:space="preserve">Reels </t>
  </si>
  <si>
    <t xml:space="preserve">Kill time </t>
  </si>
  <si>
    <t xml:space="preserve">For many different purposes not the one really </t>
  </si>
  <si>
    <t>Kill time</t>
  </si>
  <si>
    <t>To Do Lots of Work</t>
  </si>
  <si>
    <t xml:space="preserve">Explore skills </t>
  </si>
  <si>
    <t>I use social media to stay connected with friends and to read novels.</t>
  </si>
  <si>
    <t xml:space="preserve">To pass time and for enjoying </t>
  </si>
  <si>
    <t xml:space="preserve">To kill time, cricket reels, gym reels </t>
  </si>
  <si>
    <t xml:space="preserve">To spend free time </t>
  </si>
  <si>
    <t>Iâ€™m using social media just to relax my mind</t>
  </si>
  <si>
    <t xml:space="preserve">it increased my knowledge and some it waste my time </t>
  </si>
  <si>
    <t xml:space="preserve">Nothing but only for conversation </t>
  </si>
  <si>
    <t>Time kill</t>
  </si>
  <si>
    <t>Time pass n connect /message with others</t>
  </si>
  <si>
    <t>To kill time... And to search different things</t>
  </si>
  <si>
    <t xml:space="preserve">Time pass with entertainment </t>
  </si>
  <si>
    <t>connect</t>
  </si>
  <si>
    <t>To kill time,to get entertained and to see whatâ€™s going on around.</t>
  </si>
  <si>
    <t>I use social media to learn new things follow educational pages, explore different topics that interest me.</t>
  </si>
  <si>
    <t>Boredom</t>
  </si>
  <si>
    <t>To socialize and to be active on everything happening around</t>
  </si>
  <si>
    <t>Updates</t>
  </si>
  <si>
    <t xml:space="preserve">To kill time </t>
  </si>
  <si>
    <t xml:space="preserve">Entertainment </t>
  </si>
  <si>
    <t>No it only my use in study purpose and in entertain me in free time</t>
  </si>
  <si>
    <t xml:space="preserve">Cricket </t>
  </si>
  <si>
    <t xml:space="preserve">To kill time ,to see what's in trending </t>
  </si>
  <si>
    <t>Share thought</t>
  </si>
  <si>
    <t xml:space="preserve">I use social media to connect with my family and friends and it also helps me to know what's happening around the world </t>
  </si>
  <si>
    <t xml:space="preserve">Requiring study material </t>
  </si>
  <si>
    <t xml:space="preserve">For study purpose and kill time </t>
  </si>
  <si>
    <t>For husband connecting because he is settled in dubai for job</t>
  </si>
  <si>
    <t>To entertain myself and get aware of current affairs</t>
  </si>
  <si>
    <t>I use social media to avoid real life interactions</t>
  </si>
  <si>
    <t xml:space="preserve">To kill time and to reduce boredom </t>
  </si>
  <si>
    <t xml:space="preserve">To entertain myself </t>
  </si>
  <si>
    <t xml:space="preserve">I use social media just for enjoyment some how for knowledge </t>
  </si>
  <si>
    <t>To fresh my mind, reduce stress, news, study and to learn ceeative stuff</t>
  </si>
  <si>
    <t xml:space="preserve">Atachmnt </t>
  </si>
  <si>
    <t>To escape real world</t>
  </si>
  <si>
    <t xml:space="preserve">Kill time and for updates </t>
  </si>
  <si>
    <t xml:space="preserve">Procrastination </t>
  </si>
  <si>
    <t>Have fun</t>
  </si>
  <si>
    <t xml:space="preserve">Myself </t>
  </si>
  <si>
    <t xml:space="preserve">To overcome stressed and anxiety </t>
  </si>
  <si>
    <t>To scroll reelsðŸ˜”</t>
  </si>
  <si>
    <t>whatsapp to see anything important,  tiktok and youtube for watching something beneficial</t>
  </si>
  <si>
    <t xml:space="preserve">  To get entertained in spare time</t>
  </si>
  <si>
    <t xml:space="preserve">Escapism </t>
  </si>
  <si>
    <t xml:space="preserve">To enhance my knowledge </t>
  </si>
  <si>
    <t xml:space="preserve">For entertainment purpose </t>
  </si>
  <si>
    <t xml:space="preserve">To get updates about study and to get help in study </t>
  </si>
  <si>
    <t>To Share my creativity</t>
  </si>
  <si>
    <t>To enjoy or to get pleasure</t>
  </si>
  <si>
    <t>To stay in touch with others</t>
  </si>
  <si>
    <t>To kill time.</t>
  </si>
  <si>
    <t xml:space="preserve">For entertainment </t>
  </si>
  <si>
    <t>To spend my leisure time</t>
  </si>
  <si>
    <t xml:space="preserve">Daily activities </t>
  </si>
  <si>
    <t>Surf interesting content</t>
  </si>
  <si>
    <t>just for time pass</t>
  </si>
  <si>
    <t>To seek help for studies and to connect with people</t>
  </si>
  <si>
    <t xml:space="preserve">Nothing I just use for fun and time pass </t>
  </si>
  <si>
    <t>For my online business work</t>
  </si>
  <si>
    <t xml:space="preserve">To learn about study </t>
  </si>
  <si>
    <t>To see something new</t>
  </si>
  <si>
    <t xml:space="preserve">Spread good things </t>
  </si>
  <si>
    <t>Nothing special ,but i think creativity.</t>
  </si>
  <si>
    <t xml:space="preserve">My Creativity </t>
  </si>
  <si>
    <t>To get latest informations of the things happening all around the world</t>
  </si>
  <si>
    <t xml:space="preserve">Doomscroll, share my thoughtsz have fun with online friends </t>
  </si>
  <si>
    <t xml:space="preserve">friends, to share my thoughts and creativity </t>
  </si>
  <si>
    <t>New stories news, friends update</t>
  </si>
  <si>
    <t>To kill time mostly. Sometimes to share edits and stuff.</t>
  </si>
  <si>
    <t>To kill Time</t>
  </si>
  <si>
    <t>Motivate myself by taking to my rival</t>
  </si>
  <si>
    <t>To aware world affairs &amp; trends</t>
  </si>
  <si>
    <t xml:space="preserve">I use social media just to know about the world like whats happening in world everyday </t>
  </si>
  <si>
    <t>Yes</t>
  </si>
  <si>
    <t xml:space="preserve">Doomscrolling </t>
  </si>
  <si>
    <t>Time pass can say time wastage</t>
  </si>
  <si>
    <t xml:space="preserve">Relaxation </t>
  </si>
  <si>
    <t>Just time pass</t>
  </si>
  <si>
    <t>For time pass</t>
  </si>
  <si>
    <t>For fun</t>
  </si>
  <si>
    <t xml:space="preserve">Social media help me relax and pass time when I'm free </t>
  </si>
  <si>
    <t xml:space="preserve">Current affairs </t>
  </si>
  <si>
    <t xml:space="preserve">Pass time, talking to my online friends, editing </t>
  </si>
  <si>
    <t>It attracts the user towards itself</t>
  </si>
  <si>
    <t xml:space="preserve">Social media motivates us to do our work efficiently </t>
  </si>
  <si>
    <t>Do you use your real name and photo online?</t>
  </si>
  <si>
    <t>Always</t>
  </si>
  <si>
    <t>Never</t>
  </si>
  <si>
    <t>Rarely</t>
  </si>
  <si>
    <t>Sometimes</t>
  </si>
  <si>
    <t>How often do you post content (photos, updates, videos) online ?</t>
  </si>
  <si>
    <t>Often</t>
  </si>
  <si>
    <t>When posting online, how often do you edit or filter your content?</t>
  </si>
  <si>
    <t>How similar is your online Personality to your real-life Personality?</t>
  </si>
  <si>
    <t>Very Similar</t>
  </si>
  <si>
    <t>Somewhat Similar</t>
  </si>
  <si>
    <t>Very Different</t>
  </si>
  <si>
    <t>Different</t>
  </si>
  <si>
    <t>Which of your version is better?</t>
  </si>
  <si>
    <t>Both equally</t>
  </si>
  <si>
    <t>Online</t>
  </si>
  <si>
    <t>Real-life</t>
  </si>
  <si>
    <t>On the scale of 1-5, how real do you think your online personality is?</t>
  </si>
  <si>
    <t>Do you feel more confident online than in real life?</t>
  </si>
  <si>
    <t>No</t>
  </si>
  <si>
    <t>Do you think people judge others based on their online personality?</t>
  </si>
  <si>
    <t>Maybe</t>
  </si>
  <si>
    <t>How do you think people should represent themselves on social media?</t>
  </si>
  <si>
    <t>People should be real and themselves ðŸ˜</t>
  </si>
  <si>
    <t>What they exactly are</t>
  </si>
  <si>
    <t>Original</t>
  </si>
  <si>
    <t>To happy</t>
  </si>
  <si>
    <t>honestly</t>
  </si>
  <si>
    <t>I think people should represent themselves as they are in real life.</t>
  </si>
  <si>
    <t>As they are in real life</t>
  </si>
  <si>
    <t xml:space="preserve">Real personality </t>
  </si>
  <si>
    <t>As they are real life ..</t>
  </si>
  <si>
    <t xml:space="preserve">However they are comfortable because it's thier choice. </t>
  </si>
  <si>
    <t>Real</t>
  </si>
  <si>
    <t>people mostly on social media trying to show more rich</t>
  </si>
  <si>
    <t xml:space="preserve">Ppl should be creative and helping and promote learning and morals </t>
  </si>
  <si>
    <t xml:space="preserve">the way they like to represent themselves </t>
  </si>
  <si>
    <t>The way they want I guess being true to yourself is always better</t>
  </si>
  <si>
    <t>Aap they want to</t>
  </si>
  <si>
    <t xml:space="preserve">As they are in real life . No fake content,  no fake personality. </t>
  </si>
  <si>
    <t>Is a balancing between authenticity.curation.and responsibility .the best approach depends on individual goals,wether for personal connection.professional networking,or creative expression,while remaining aware of the impact on oneself and others</t>
  </si>
  <si>
    <t xml:space="preserve">By using quality and meaning content </t>
  </si>
  <si>
    <t>Be authentic but thoughtful , show respect for others</t>
  </si>
  <si>
    <t>realistic</t>
  </si>
  <si>
    <t>How they like</t>
  </si>
  <si>
    <t>Must be real ....</t>
  </si>
  <si>
    <t>As they want .</t>
  </si>
  <si>
    <t xml:space="preserve">Mostly people show more efficient and attitude personality </t>
  </si>
  <si>
    <t xml:space="preserve">Simple and confident </t>
  </si>
  <si>
    <t xml:space="preserve">As Like in real life </t>
  </si>
  <si>
    <t>They should be the realest version of themselves online because most people don't get to be themselves in real life. If they don't express their real self anywhere they might start having problems with identifying themselves, making according to their preferences and identifying their likes and dislikes</t>
  </si>
  <si>
    <t>Be themselves and avoid fake personality to impress others</t>
  </si>
  <si>
    <t>How they actually are</t>
  </si>
  <si>
    <t>People should represent themselves on social media the way they actually areâ€”not some overly filtered, highlight-reel version. Itâ€™s fine to share good moments, but itâ€™s better when itâ€™s real and not just for attention. A little honesty, a little personality, and less pretending to be perfect would make social media way less fake.</t>
  </si>
  <si>
    <t xml:space="preserve">More confident and rich and bold but actually they are not </t>
  </si>
  <si>
    <t xml:space="preserve">Similar to real personality </t>
  </si>
  <si>
    <t>How they are in real life.</t>
  </si>
  <si>
    <t>So that people should have a little opinion about them</t>
  </si>
  <si>
    <t>they should post what they are and keep their circle close we should social media as a source of enjoymnt not for dating app type btw dating apps are also so join them individually.. posting stories on regular basis but for a close circle whom i know properly</t>
  </si>
  <si>
    <t xml:space="preserve">to motivate people </t>
  </si>
  <si>
    <t>People should represent in which they are comfortable and instead of criticizing other people should see themselves first.</t>
  </si>
  <si>
    <t xml:space="preserve">Be geniune and transparent </t>
  </si>
  <si>
    <t>Should represent real personality than fake one</t>
  </si>
  <si>
    <t xml:space="preserve">I thick boys are the same on social media girls are total fake on there social media </t>
  </si>
  <si>
    <t xml:space="preserve">Be positive and show some mature attitude towards social media, everything is not meant to be posted . </t>
  </si>
  <si>
    <t xml:space="preserve">The way they are offline </t>
  </si>
  <si>
    <t>in real manner</t>
  </si>
  <si>
    <t>Yes Coz Its Modern Era</t>
  </si>
  <si>
    <t xml:space="preserve">Be respectivily .set there goal. Use privacy settings </t>
  </si>
  <si>
    <t>Snoozo behave, snoozo things .</t>
  </si>
  <si>
    <t xml:space="preserve">Honestly and respectfully </t>
  </si>
  <si>
    <t xml:space="preserve">Fake </t>
  </si>
  <si>
    <t>however they want, itâ€™s their personal platform.</t>
  </si>
  <si>
    <t>Many try to present an idealized version of who they want to be seen as â€” confident, attractive, social, or productive. This can involve using filters, editing photos, or writing carefully thought-out captions.</t>
  </si>
  <si>
    <t>People should represent themselves on social media with authenticityâ€”showing who the truly are, not who they think others want to see.</t>
  </si>
  <si>
    <t xml:space="preserve">in good way </t>
  </si>
  <si>
    <t>The way they are in real life but if they are mean then try to be nicer</t>
  </si>
  <si>
    <t xml:space="preserve">Be authentic, Show the real you, share the fun and positivevibes </t>
  </si>
  <si>
    <t xml:space="preserve">Somehow the way they r </t>
  </si>
  <si>
    <t>People should represent themselves based on reality rather than being too smart and unrealistic.</t>
  </si>
  <si>
    <t>I think people should use social media to spread positivity and be responsible for what they post or share.</t>
  </si>
  <si>
    <t xml:space="preserve">Sincerely </t>
  </si>
  <si>
    <t xml:space="preserve">Real </t>
  </si>
  <si>
    <t>People respect by different forms by sharing pictures videos etc</t>
  </si>
  <si>
    <t>Yes or no</t>
  </si>
  <si>
    <t>People should represent themselves on social media professionally respectfully and honestly, sharing content that reflects positive values good communication, and integrity.</t>
  </si>
  <si>
    <t xml:space="preserve">Some positive some negativity </t>
  </si>
  <si>
    <t>Who they are in reality</t>
  </si>
  <si>
    <t>The way they are in real life</t>
  </si>
  <si>
    <t xml:space="preserve">Genius and  Intellectual </t>
  </si>
  <si>
    <t>People should represent themselves honestly instead of pretending to be someone else.They must think responsibly before sharing anything that could harm others or their own reputation.</t>
  </si>
  <si>
    <t xml:space="preserve">As Same as real life </t>
  </si>
  <si>
    <t>Some how</t>
  </si>
  <si>
    <t xml:space="preserve">I don't know </t>
  </si>
  <si>
    <t xml:space="preserve">Some people show fake life but mostly show really life </t>
  </si>
  <si>
    <t>You should represent yourself Positively rather than making vulgar content</t>
  </si>
  <si>
    <t>Most people are just pretending to be happy</t>
  </si>
  <si>
    <t>As they are in real life!</t>
  </si>
  <si>
    <t xml:space="preserve">It's their choice </t>
  </si>
  <si>
    <t>People should represent themselves on social media honestly and respectfully</t>
  </si>
  <si>
    <t>Thwy shluld be real amd should not pretend to be lile.someone</t>
  </si>
  <si>
    <t xml:space="preserve">Same as their real life </t>
  </si>
  <si>
    <t>Not so real</t>
  </si>
  <si>
    <t xml:space="preserve">To be nice and dignified </t>
  </si>
  <si>
    <t xml:space="preserve">Just be themselves </t>
  </si>
  <si>
    <t>People become more nice on social media than real life</t>
  </si>
  <si>
    <t>âœï¸</t>
  </si>
  <si>
    <t xml:space="preserve">Don't know </t>
  </si>
  <si>
    <t>Be real not fake</t>
  </si>
  <si>
    <t>Happiest person  but in real life no one is happyðŸ˜®â€ðŸ’¨</t>
  </si>
  <si>
    <t>Just like baddiesðŸ¥¹</t>
  </si>
  <si>
    <t>Good question</t>
  </si>
  <si>
    <t>People should represent themselves  as they are in real life .</t>
  </si>
  <si>
    <t>Pookieesss</t>
  </si>
  <si>
    <t>More attractive rather than real life</t>
  </si>
  <si>
    <t xml:space="preserve">They should not disclose personal information </t>
  </si>
  <si>
    <t>With their real personality only</t>
  </si>
  <si>
    <t xml:space="preserve">Be natuara and simple </t>
  </si>
  <si>
    <t>Reserved , should not expose personal life</t>
  </si>
  <si>
    <t>Sometimes real</t>
  </si>
  <si>
    <t>They were fake</t>
  </si>
  <si>
    <t xml:space="preserve">As. Real they are </t>
  </si>
  <si>
    <t>Represent what you actually are and believe in</t>
  </si>
  <si>
    <t>What they really are.... No lies about personality in my opinion.</t>
  </si>
  <si>
    <t xml:space="preserve">Real selves </t>
  </si>
  <si>
    <t xml:space="preserve">Like their real personality </t>
  </si>
  <si>
    <t>People should represent themselves on social media honestly and respectfully, showing their true selves while using it positively and responsibly.</t>
  </si>
  <si>
    <t>On social media, be real, be kind, and be wise. Your posts speak louder than your words â€” so spread positivity, protect your privacy, and let your online presence reflect the best version of you.</t>
  </si>
  <si>
    <t>Only real face</t>
  </si>
  <si>
    <t>50% real personality and 50 % fake</t>
  </si>
  <si>
    <t>They should represent their real personalities. Use their original name and profile picture.</t>
  </si>
  <si>
    <t>i think Poeple should not feel the need to show up on social media as something that are not in real life. if they present themselves a certain way online they should strive to be that way in real life as well maintaining consistency and authenticity in their actions and behavior</t>
  </si>
  <si>
    <t>They should be genuine not fake.</t>
  </si>
  <si>
    <t>A person should be like the real him/herself, not fake appearances, and should support positive content so that people can see him/her and do something good.</t>
  </si>
  <si>
    <t xml:space="preserve">Like their real self </t>
  </si>
  <si>
    <t>Prople should show them as they are in real</t>
  </si>
  <si>
    <t xml:space="preserve">Honestly to avoid bad influence on your followers </t>
  </si>
  <si>
    <t>I think a fake personality not only ruins what u really are but also make you incomplete from inside. Being real is better than being perfect. However, in my opinion it is good to post continuous progress about yourself, it will not only motivate you but also induce people to give you positive or negative remarks that play a crucial role in shaping your personality.</t>
  </si>
  <si>
    <t xml:space="preserve">No comments </t>
  </si>
  <si>
    <t>Reality based</t>
  </si>
  <si>
    <t>real</t>
  </si>
  <si>
    <t xml:space="preserve">Honest </t>
  </si>
  <si>
    <t>Kindly</t>
  </si>
  <si>
    <t>By being however they are coz pretenses dont last long.</t>
  </si>
  <si>
    <t xml:space="preserve">however they want to be honestly </t>
  </si>
  <si>
    <t>Real feelings, less filters, Calm, dont try very hard to be an influencer, never public your account for followers</t>
  </si>
  <si>
    <t>It's important to be genuine, they shouldn't feel like they have to create a perfect and exaggerated image of themselves. They should think before posting.</t>
  </si>
  <si>
    <t xml:space="preserve">Maybe </t>
  </si>
  <si>
    <t>As they are in real life because lying only creates problems</t>
  </si>
  <si>
    <t>In positive way</t>
  </si>
  <si>
    <t>They should be real</t>
  </si>
  <si>
    <t>Showing their true personality while staying responsible online.</t>
  </si>
  <si>
    <t>However they want</t>
  </si>
  <si>
    <t>They should represent themselves according to their real lives but the one using social media for relaxation from their problems can post according to their own feelings but not their real-life personality.</t>
  </si>
  <si>
    <t>Mostly are fake and actually admiring themselves that they are perfect</t>
  </si>
  <si>
    <t>Be real</t>
  </si>
  <si>
    <t>I think they should keep their life private and not disclose it on social media</t>
  </si>
  <si>
    <t xml:space="preserve">Be real </t>
  </si>
  <si>
    <t xml:space="preserve">People should use social media as a tool for connection, learning and inspiration not competition or comparison </t>
  </si>
  <si>
    <t xml:space="preserve">They should be nice </t>
  </si>
  <si>
    <t xml:space="preserve">being honest and genuine </t>
  </si>
  <si>
    <t>People should represent themselves honestly on social media because we are now entering a digital era in which everything would now be judged based on a persons or a things digital personality, so how true a persons digital personality is he would judged upon that..</t>
  </si>
  <si>
    <t>People's are not so real in actual as they show them on social media</t>
  </si>
  <si>
    <t>How real is your online personality?</t>
  </si>
  <si>
    <t>Graphical Representation</t>
  </si>
  <si>
    <t>Q: Which of your version is better?</t>
  </si>
  <si>
    <t>REAL-LIFE</t>
  </si>
  <si>
    <t>ONLINE</t>
  </si>
  <si>
    <t>BOTH EQUALITY</t>
  </si>
  <si>
    <t>Q: On the scale of 1-5, how real do you think your online personality is?</t>
  </si>
  <si>
    <t>Completely Fake</t>
  </si>
  <si>
    <t>Completely  Real</t>
  </si>
  <si>
    <t>Q: Do you feel more confident online than in Real life?</t>
  </si>
  <si>
    <t>YES</t>
  </si>
  <si>
    <t>NO</t>
  </si>
  <si>
    <t>Q: When posting online, how often do you edit or filter your content?</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</si>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</sst>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color theme="0"/>
      <name val="Times New Roman"/>
      <family val="1"/>
    </font>
    <font>
      <b/>
      <sz val="14"/>
      <color theme="1"/>
      <name val="Times New Roman"/>
      <family val="1"/>
    </font>
    <font>
      <b/>
      <sz val="18"/>
      <color theme="1"/>
      <name val="Times New Roman"/>
      <family val="1"/>
    </font>
    <font>
      <b/>
      <sz val="14"/>
      <color theme="1"/>
      <name val="Calibri"/>
      <family val="2"/>
      <scheme val="minor"/>
    </font>
    <font>
      <sz val="12"/>
      <color theme="1"/>
      <name val="Times New Roman"/>
      <family val="1"/>
    </font>
    <font>
      <b/>
      <sz val="26"/>
      <color rgb="FF003264"/>
      <name val="Times New Roman"/>
      <family val="1"/>
    </font>
    <font>
      <b/>
      <sz val="14"/>
      <color theme="0"/>
      <name val="Times New Roman"/>
      <family val="1"/>
    </font>
    <font>
      <b/>
      <sz val="26"/>
      <color theme="1"/>
      <name val="Times New Roman"/>
      <family val="1"/>
    </font>
  </fonts>
  <fills count="5">
    <fill>
      <patternFill patternType="none"/>
    </fill>
    <fill>
      <patternFill patternType="gray125"/>
    </fill>
    <fill>
      <patternFill patternType="solid">
        <fgColor rgb="FF003264"/>
        <bgColor indexed="64"/>
      </patternFill>
    </fill>
    <fill>
      <patternFill patternType="solid">
        <fgColor theme="8" tint="0.39997558519241921"/>
        <bgColor indexed="64"/>
      </patternFill>
    </fill>
    <fill>
      <patternFill patternType="solid">
        <fgColor theme="0" tint="-4.9989318521683403E-2"/>
        <bgColor indexed="64"/>
      </patternFill>
    </fill>
  </fills>
  <borders count="17">
    <border>
      <left/>
      <right/>
      <top/>
      <bottom/>
      <diagonal/>
    </border>
    <border>
      <left/>
      <right/>
      <top style="medium">
        <color theme="0"/>
      </top>
      <bottom style="medium">
        <color theme="0"/>
      </bottom>
      <diagonal/>
    </border>
    <border>
      <left style="thin">
        <color indexed="64"/>
      </left>
      <right style="thin">
        <color indexed="64"/>
      </right>
      <top style="thin">
        <color indexed="64"/>
      </top>
      <bottom style="thin">
        <color indexed="64"/>
      </bottom>
      <diagonal/>
    </border>
    <border>
      <left/>
      <right/>
      <top style="thick">
        <color rgb="FF003264"/>
      </top>
      <bottom style="medium">
        <color theme="0"/>
      </bottom>
      <diagonal/>
    </border>
    <border>
      <left/>
      <right style="thick">
        <color rgb="FF003264"/>
      </right>
      <top style="thick">
        <color rgb="FF003264"/>
      </top>
      <bottom style="medium">
        <color theme="0"/>
      </bottom>
      <diagonal/>
    </border>
    <border>
      <left style="thick">
        <color rgb="FF003264"/>
      </left>
      <right/>
      <top/>
      <bottom/>
      <diagonal/>
    </border>
    <border>
      <left/>
      <right style="thick">
        <color rgb="FF003264"/>
      </right>
      <top/>
      <bottom/>
      <diagonal/>
    </border>
    <border>
      <left style="thick">
        <color rgb="FF003264"/>
      </left>
      <right style="thin">
        <color indexed="64"/>
      </right>
      <top style="thin">
        <color indexed="64"/>
      </top>
      <bottom style="thin">
        <color indexed="64"/>
      </bottom>
      <diagonal/>
    </border>
    <border>
      <left style="thin">
        <color indexed="64"/>
      </left>
      <right style="thick">
        <color rgb="FF003264"/>
      </right>
      <top style="thin">
        <color indexed="64"/>
      </top>
      <bottom style="thin">
        <color indexed="64"/>
      </bottom>
      <diagonal/>
    </border>
    <border>
      <left style="thick">
        <color rgb="FF003264"/>
      </left>
      <right style="thin">
        <color indexed="64"/>
      </right>
      <top style="thin">
        <color indexed="64"/>
      </top>
      <bottom style="thick">
        <color rgb="FF003264"/>
      </bottom>
      <diagonal/>
    </border>
    <border>
      <left style="thin">
        <color indexed="64"/>
      </left>
      <right style="thin">
        <color indexed="64"/>
      </right>
      <top style="thin">
        <color indexed="64"/>
      </top>
      <bottom style="thick">
        <color rgb="FF003264"/>
      </bottom>
      <diagonal/>
    </border>
    <border>
      <left style="thin">
        <color indexed="64"/>
      </left>
      <right style="thick">
        <color rgb="FF003264"/>
      </right>
      <top style="thin">
        <color indexed="64"/>
      </top>
      <bottom style="thick">
        <color rgb="FF003264"/>
      </bottom>
      <diagonal/>
    </border>
    <border>
      <left style="thick">
        <color rgb="FF003264"/>
      </left>
      <right/>
      <top style="thick">
        <color rgb="FF003264"/>
      </top>
      <bottom/>
      <diagonal/>
    </border>
    <border>
      <left style="thin">
        <color theme="0"/>
      </left>
      <right style="thin">
        <color theme="0"/>
      </right>
      <top style="thin">
        <color theme="0"/>
      </top>
      <bottom style="thin">
        <color theme="0"/>
      </bottom>
      <diagonal/>
    </border>
    <border>
      <left/>
      <right/>
      <top style="thick">
        <color rgb="FF003264"/>
      </top>
      <bottom/>
      <diagonal/>
    </border>
    <border>
      <left style="medium">
        <color theme="0"/>
      </left>
      <right style="medium">
        <color theme="0"/>
      </right>
      <top style="medium">
        <color theme="0"/>
      </top>
      <bottom style="medium">
        <color theme="0"/>
      </bottom>
      <diagonal/>
    </border>
    <border>
      <left style="medium">
        <color theme="0"/>
      </left>
      <right style="thick">
        <color rgb="FF003264"/>
      </right>
      <top style="medium">
        <color theme="0"/>
      </top>
      <bottom style="medium">
        <color theme="0"/>
      </bottom>
      <diagonal/>
    </border>
  </borders>
  <cellStyleXfs count="1">
    <xf numFmtId="0" fontId="0" fillId="0" borderId="0"/>
  </cellStyleXfs>
  <cellXfs count="41">
    <xf numFmtId="0" fontId="0" fillId="0" borderId="0" xfId="0"/>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1" fillId="0" borderId="0" xfId="0" applyFont="1" applyAlignment="1">
      <alignment horizontal="center" vertical="center" wrapText="1"/>
    </xf>
    <xf numFmtId="0" fontId="0" fillId="0" borderId="5" xfId="0" applyBorder="1" applyAlignment="1">
      <alignment vertical="center" wrapText="1"/>
    </xf>
    <xf numFmtId="0" fontId="0" fillId="0" borderId="6" xfId="0" applyBorder="1" applyAlignment="1">
      <alignment horizontal="left"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0" fillId="0" borderId="5" xfId="0" applyBorder="1"/>
    <xf numFmtId="0" fontId="4" fillId="0" borderId="0" xfId="0" applyFont="1" applyAlignment="1">
      <alignment vertical="center"/>
    </xf>
    <xf numFmtId="0" fontId="5" fillId="0" borderId="7" xfId="0" applyFont="1" applyBorder="1" applyAlignment="1">
      <alignment vertical="center" wrapText="1"/>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5" fillId="0" borderId="2" xfId="0" applyFont="1" applyBorder="1" applyAlignment="1">
      <alignment vertical="center" wrapText="1"/>
    </xf>
    <xf numFmtId="0" fontId="5" fillId="0" borderId="8" xfId="0" applyFont="1" applyBorder="1" applyAlignment="1">
      <alignment horizontal="left" vertical="center" wrapText="1"/>
    </xf>
    <xf numFmtId="0" fontId="5" fillId="0" borderId="9" xfId="0" applyFont="1" applyBorder="1" applyAlignment="1">
      <alignment vertical="center" wrapText="1"/>
    </xf>
    <xf numFmtId="0" fontId="5" fillId="0" borderId="10" xfId="0" applyFont="1" applyBorder="1" applyAlignment="1">
      <alignment horizontal="center" vertical="center"/>
    </xf>
    <xf numFmtId="0" fontId="5" fillId="0" borderId="10" xfId="0" applyFont="1" applyBorder="1" applyAlignment="1">
      <alignment horizontal="center" vertical="center" wrapText="1"/>
    </xf>
    <xf numFmtId="0" fontId="5" fillId="0" borderId="10" xfId="0" applyFont="1" applyBorder="1" applyAlignment="1">
      <alignment vertical="center" wrapText="1"/>
    </xf>
    <xf numFmtId="0" fontId="5" fillId="0" borderId="11" xfId="0" applyFont="1" applyBorder="1" applyAlignment="1">
      <alignment horizontal="left" vertical="center" wrapText="1"/>
    </xf>
    <xf numFmtId="0" fontId="7" fillId="2" borderId="13"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5" fillId="0" borderId="0" xfId="0" applyFont="1" applyAlignment="1">
      <alignment horizontal="center" vertical="center"/>
    </xf>
    <xf numFmtId="0" fontId="0" fillId="0" borderId="0" xfId="0" applyAlignment="1">
      <alignment vertical="center"/>
    </xf>
    <xf numFmtId="0" fontId="5" fillId="0" borderId="0" xfId="0" applyFont="1" applyAlignment="1">
      <alignment vertical="center"/>
    </xf>
    <xf numFmtId="0" fontId="3" fillId="0" borderId="0" xfId="0" applyFont="1" applyAlignment="1">
      <alignment vertical="center"/>
    </xf>
    <xf numFmtId="0" fontId="2" fillId="0" borderId="0" xfId="0" applyFont="1" applyAlignment="1">
      <alignment vertical="center"/>
    </xf>
    <xf numFmtId="0" fontId="6" fillId="0" borderId="12" xfId="0" applyFont="1" applyBorder="1" applyAlignment="1">
      <alignment horizontal="center" vertical="center" wrapText="1"/>
    </xf>
    <xf numFmtId="0" fontId="0" fillId="0" borderId="14"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8" fillId="3" borderId="0" xfId="0" applyFont="1" applyFill="1" applyAlignment="1">
      <alignment horizontal="center" vertical="center" wrapText="1"/>
    </xf>
    <xf numFmtId="0" fontId="0" fillId="4" borderId="2" xfId="0" applyFill="1" applyBorder="1" applyAlignment="1">
      <alignment horizontal="center" vertical="center"/>
    </xf>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5" fillId="4" borderId="2"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032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GB" sz="1800" b="1" i="0" baseline="0">
                <a:effectLst/>
                <a:latin typeface="Times New Roman" panose="02020603050405020304" pitchFamily="18" charset="0"/>
                <a:cs typeface="Times New Roman" panose="02020603050405020304" pitchFamily="18" charset="0"/>
              </a:rPr>
              <a:t>Which of your version is better? </a:t>
            </a:r>
            <a:endParaRPr lang="en-GB">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GB"/>
        </a:p>
      </c:txPr>
    </c:title>
    <c:autoTitleDeleted val="0"/>
    <c:plotArea>
      <c:layout/>
      <c:barChart>
        <c:barDir val="bar"/>
        <c:grouping val="clustered"/>
        <c:varyColors val="0"/>
        <c:ser>
          <c:idx val="1"/>
          <c:order val="1"/>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Sheet1!$L$216:$L$221</c:f>
              <c:strCache>
                <c:ptCount val="5"/>
                <c:pt idx="0">
                  <c:v>REAL-LIFE</c:v>
                </c:pt>
                <c:pt idx="2">
                  <c:v>ONLINE</c:v>
                </c:pt>
                <c:pt idx="4">
                  <c:v>BOTH EQUALITY</c:v>
                </c:pt>
              </c:strCache>
            </c:strRef>
          </c:cat>
          <c:val>
            <c:numRef>
              <c:f>Sheet1!$N$216:$N$221</c:f>
              <c:numCache>
                <c:formatCode>General</c:formatCode>
                <c:ptCount val="6"/>
                <c:pt idx="0">
                  <c:v>69</c:v>
                </c:pt>
                <c:pt idx="2">
                  <c:v>20</c:v>
                </c:pt>
                <c:pt idx="4">
                  <c:v>101</c:v>
                </c:pt>
              </c:numCache>
            </c:numRef>
          </c:val>
          <c:extLst>
            <c:ext xmlns:c16="http://schemas.microsoft.com/office/drawing/2014/chart" uri="{C3380CC4-5D6E-409C-BE32-E72D297353CC}">
              <c16:uniqueId val="{00000001-4524-46B4-8ADB-C7BD339FD0CE}"/>
            </c:ext>
          </c:extLst>
        </c:ser>
        <c:dLbls>
          <c:dLblPos val="inEnd"/>
          <c:showLegendKey val="0"/>
          <c:showVal val="1"/>
          <c:showCatName val="0"/>
          <c:showSerName val="0"/>
          <c:showPercent val="0"/>
          <c:showBubbleSize val="0"/>
        </c:dLbls>
        <c:gapWidth val="65"/>
        <c:axId val="1186027936"/>
        <c:axId val="1186910432"/>
        <c:extLst>
          <c:ext xmlns:c15="http://schemas.microsoft.com/office/drawing/2012/chart" uri="{02D57815-91ED-43cb-92C2-25804820EDAC}">
            <c15:filteredBarSeries>
              <c15:ser>
                <c:idx val="0"/>
                <c:order val="0"/>
                <c:spPr>
                  <a:solidFill>
                    <a:schemeClr val="accent1">
                      <a:shade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strRef>
                    <c:extLst>
                      <c:ext uri="{02D57815-91ED-43cb-92C2-25804820EDAC}">
                        <c15:formulaRef>
                          <c15:sqref>Sheet1!$L$216:$L$221</c15:sqref>
                        </c15:formulaRef>
                      </c:ext>
                    </c:extLst>
                    <c:strCache>
                      <c:ptCount val="5"/>
                      <c:pt idx="0">
                        <c:v>REAL-LIFE</c:v>
                      </c:pt>
                      <c:pt idx="2">
                        <c:v>ONLINE</c:v>
                      </c:pt>
                      <c:pt idx="4">
                        <c:v>BOTH EQUALITY</c:v>
                      </c:pt>
                    </c:strCache>
                  </c:strRef>
                </c:cat>
                <c:val>
                  <c:numRef>
                    <c:extLst>
                      <c:ext uri="{02D57815-91ED-43cb-92C2-25804820EDAC}">
                        <c15:formulaRef>
                          <c15:sqref>Sheet1!$M$216:$M$221</c15:sqref>
                        </c15:formulaRef>
                      </c:ext>
                    </c:extLst>
                    <c:numCache>
                      <c:formatCode>General</c:formatCode>
                      <c:ptCount val="6"/>
                    </c:numCache>
                  </c:numRef>
                </c:val>
                <c:extLst>
                  <c:ext xmlns:c16="http://schemas.microsoft.com/office/drawing/2014/chart" uri="{C3380CC4-5D6E-409C-BE32-E72D297353CC}">
                    <c16:uniqueId val="{00000000-4524-46B4-8ADB-C7BD339FD0CE}"/>
                  </c:ext>
                </c:extLst>
              </c15:ser>
            </c15:filteredBarSeries>
            <c15:filteredBarSeries>
              <c15:ser>
                <c:idx val="2"/>
                <c:order val="2"/>
                <c:spPr>
                  <a:solidFill>
                    <a:schemeClr val="accent1">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Sheet1!$L$216:$L$221</c15:sqref>
                        </c15:formulaRef>
                      </c:ext>
                    </c:extLst>
                    <c:strCache>
                      <c:ptCount val="5"/>
                      <c:pt idx="0">
                        <c:v>REAL-LIFE</c:v>
                      </c:pt>
                      <c:pt idx="2">
                        <c:v>ONLINE</c:v>
                      </c:pt>
                      <c:pt idx="4">
                        <c:v>BOTH EQUALITY</c:v>
                      </c:pt>
                    </c:strCache>
                  </c:strRef>
                </c:cat>
                <c:val>
                  <c:numRef>
                    <c:extLst xmlns:c15="http://schemas.microsoft.com/office/drawing/2012/chart">
                      <c:ext xmlns:c15="http://schemas.microsoft.com/office/drawing/2012/chart" uri="{02D57815-91ED-43cb-92C2-25804820EDAC}">
                        <c15:formulaRef>
                          <c15:sqref>Sheet1!$O$216:$O$221</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2-4524-46B4-8ADB-C7BD339FD0CE}"/>
                  </c:ext>
                </c:extLst>
              </c15:ser>
            </c15:filteredBarSeries>
          </c:ext>
        </c:extLst>
      </c:barChart>
      <c:catAx>
        <c:axId val="11860279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0" i="0" u="none" strike="noStrike" kern="1200" cap="all"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1186910432"/>
        <c:crosses val="autoZero"/>
        <c:auto val="1"/>
        <c:lblAlgn val="ctr"/>
        <c:lblOffset val="100"/>
        <c:noMultiLvlLbl val="0"/>
      </c:catAx>
      <c:valAx>
        <c:axId val="11869104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86027936"/>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GB" sz="1800" b="1" i="0" baseline="0">
                <a:effectLst/>
                <a:latin typeface="Times New Roman" panose="02020603050405020304" pitchFamily="18" charset="0"/>
                <a:cs typeface="Times New Roman" panose="02020603050405020304" pitchFamily="18" charset="0"/>
              </a:rPr>
              <a:t>On the scale of 1-5, how real do you think your online personality is? </a:t>
            </a:r>
            <a:endParaRPr lang="en-GB">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GB"/>
        </a:p>
      </c:txPr>
    </c:title>
    <c:autoTitleDeleted val="0"/>
    <c:plotArea>
      <c:layout/>
      <c:pieChart>
        <c:varyColors val="1"/>
        <c:ser>
          <c:idx val="1"/>
          <c:order val="1"/>
          <c:dPt>
            <c:idx val="0"/>
            <c:bubble3D val="0"/>
            <c:spPr>
              <a:gradFill>
                <a:gsLst>
                  <a:gs pos="0">
                    <a:schemeClr val="accent5">
                      <a:shade val="42000"/>
                    </a:schemeClr>
                  </a:gs>
                  <a:gs pos="100000">
                    <a:schemeClr val="accent5">
                      <a:shade val="42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B5C4-4FA0-8F01-0D16A345628E}"/>
              </c:ext>
            </c:extLst>
          </c:dPt>
          <c:dPt>
            <c:idx val="1"/>
            <c:bubble3D val="0"/>
            <c:spPr>
              <a:gradFill>
                <a:gsLst>
                  <a:gs pos="0">
                    <a:schemeClr val="accent5">
                      <a:shade val="55000"/>
                    </a:schemeClr>
                  </a:gs>
                  <a:gs pos="100000">
                    <a:schemeClr val="accent5">
                      <a:shade val="55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B5C4-4FA0-8F01-0D16A345628E}"/>
              </c:ext>
            </c:extLst>
          </c:dPt>
          <c:dPt>
            <c:idx val="2"/>
            <c:bubble3D val="0"/>
            <c:spPr>
              <a:gradFill>
                <a:gsLst>
                  <a:gs pos="0">
                    <a:schemeClr val="accent5">
                      <a:shade val="68000"/>
                    </a:schemeClr>
                  </a:gs>
                  <a:gs pos="100000">
                    <a:schemeClr val="accent5">
                      <a:shade val="68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B5C4-4FA0-8F01-0D16A345628E}"/>
              </c:ext>
            </c:extLst>
          </c:dPt>
          <c:dPt>
            <c:idx val="3"/>
            <c:bubble3D val="0"/>
            <c:spPr>
              <a:gradFill>
                <a:gsLst>
                  <a:gs pos="0">
                    <a:schemeClr val="accent5">
                      <a:shade val="80000"/>
                    </a:schemeClr>
                  </a:gs>
                  <a:gs pos="100000">
                    <a:schemeClr val="accent5">
                      <a:shade val="80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B5C4-4FA0-8F01-0D16A345628E}"/>
              </c:ext>
            </c:extLst>
          </c:dPt>
          <c:dPt>
            <c:idx val="4"/>
            <c:bubble3D val="0"/>
            <c:spPr>
              <a:gradFill>
                <a:gsLst>
                  <a:gs pos="0">
                    <a:schemeClr val="accent5">
                      <a:shade val="93000"/>
                    </a:schemeClr>
                  </a:gs>
                  <a:gs pos="100000">
                    <a:schemeClr val="accent5">
                      <a:shade val="93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9-B5C4-4FA0-8F01-0D16A345628E}"/>
              </c:ext>
            </c:extLst>
          </c:dPt>
          <c:dPt>
            <c:idx val="5"/>
            <c:bubble3D val="0"/>
            <c:spPr>
              <a:gradFill>
                <a:gsLst>
                  <a:gs pos="0">
                    <a:schemeClr val="accent5">
                      <a:tint val="94000"/>
                    </a:schemeClr>
                  </a:gs>
                  <a:gs pos="100000">
                    <a:schemeClr val="accent5">
                      <a:tint val="94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B-B5C4-4FA0-8F01-0D16A345628E}"/>
              </c:ext>
            </c:extLst>
          </c:dPt>
          <c:dPt>
            <c:idx val="6"/>
            <c:bubble3D val="0"/>
            <c:spPr>
              <a:gradFill>
                <a:gsLst>
                  <a:gs pos="0">
                    <a:schemeClr val="accent5">
                      <a:tint val="81000"/>
                    </a:schemeClr>
                  </a:gs>
                  <a:gs pos="100000">
                    <a:schemeClr val="accent5">
                      <a:tint val="81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D-B5C4-4FA0-8F01-0D16A345628E}"/>
              </c:ext>
            </c:extLst>
          </c:dPt>
          <c:dPt>
            <c:idx val="7"/>
            <c:bubble3D val="0"/>
            <c:spPr>
              <a:gradFill>
                <a:gsLst>
                  <a:gs pos="0">
                    <a:schemeClr val="accent5">
                      <a:tint val="69000"/>
                    </a:schemeClr>
                  </a:gs>
                  <a:gs pos="100000">
                    <a:schemeClr val="accent5">
                      <a:tint val="69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F-B5C4-4FA0-8F01-0D16A345628E}"/>
              </c:ext>
            </c:extLst>
          </c:dPt>
          <c:dPt>
            <c:idx val="8"/>
            <c:bubble3D val="0"/>
            <c:spPr>
              <a:gradFill>
                <a:gsLst>
                  <a:gs pos="0">
                    <a:schemeClr val="accent5">
                      <a:tint val="56000"/>
                    </a:schemeClr>
                  </a:gs>
                  <a:gs pos="100000">
                    <a:schemeClr val="accent5">
                      <a:tint val="56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1-B5C4-4FA0-8F01-0D16A345628E}"/>
              </c:ext>
            </c:extLst>
          </c:dPt>
          <c:dPt>
            <c:idx val="9"/>
            <c:bubble3D val="0"/>
            <c:spPr>
              <a:gradFill>
                <a:gsLst>
                  <a:gs pos="0">
                    <a:schemeClr val="accent5">
                      <a:tint val="43000"/>
                    </a:schemeClr>
                  </a:gs>
                  <a:gs pos="100000">
                    <a:schemeClr val="accent5">
                      <a:tint val="43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3-B5C4-4FA0-8F01-0D16A345628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numRef>
              <c:f>Sheet1!$M$246:$M$255</c:f>
              <c:numCache>
                <c:formatCode>General</c:formatCode>
                <c:ptCount val="10"/>
                <c:pt idx="0">
                  <c:v>1</c:v>
                </c:pt>
                <c:pt idx="2">
                  <c:v>2</c:v>
                </c:pt>
                <c:pt idx="4">
                  <c:v>3</c:v>
                </c:pt>
                <c:pt idx="6">
                  <c:v>4</c:v>
                </c:pt>
                <c:pt idx="8">
                  <c:v>5</c:v>
                </c:pt>
              </c:numCache>
            </c:numRef>
          </c:cat>
          <c:val>
            <c:numRef>
              <c:f>Sheet1!$O$246:$O$255</c:f>
              <c:numCache>
                <c:formatCode>General</c:formatCode>
                <c:ptCount val="10"/>
                <c:pt idx="0">
                  <c:v>7</c:v>
                </c:pt>
                <c:pt idx="2">
                  <c:v>6</c:v>
                </c:pt>
                <c:pt idx="4">
                  <c:v>45</c:v>
                </c:pt>
                <c:pt idx="6">
                  <c:v>69</c:v>
                </c:pt>
                <c:pt idx="8">
                  <c:v>64</c:v>
                </c:pt>
              </c:numCache>
            </c:numRef>
          </c:val>
          <c:extLst>
            <c:ext xmlns:c16="http://schemas.microsoft.com/office/drawing/2014/chart" uri="{C3380CC4-5D6E-409C-BE32-E72D297353CC}">
              <c16:uniqueId val="{00000001-659D-4E66-9E1C-A956D4B81E28}"/>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dPt>
                  <c:idx val="0"/>
                  <c:bubble3D val="0"/>
                  <c:spPr>
                    <a:gradFill>
                      <a:gsLst>
                        <a:gs pos="0">
                          <a:schemeClr val="accent5">
                            <a:shade val="42000"/>
                          </a:schemeClr>
                        </a:gs>
                        <a:gs pos="100000">
                          <a:schemeClr val="accent5">
                            <a:shade val="42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5-B5C4-4FA0-8F01-0D16A345628E}"/>
                    </c:ext>
                  </c:extLst>
                </c:dPt>
                <c:dPt>
                  <c:idx val="1"/>
                  <c:bubble3D val="0"/>
                  <c:spPr>
                    <a:gradFill>
                      <a:gsLst>
                        <a:gs pos="0">
                          <a:schemeClr val="accent5">
                            <a:shade val="55000"/>
                          </a:schemeClr>
                        </a:gs>
                        <a:gs pos="100000">
                          <a:schemeClr val="accent5">
                            <a:shade val="55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7-B5C4-4FA0-8F01-0D16A345628E}"/>
                    </c:ext>
                  </c:extLst>
                </c:dPt>
                <c:dPt>
                  <c:idx val="2"/>
                  <c:bubble3D val="0"/>
                  <c:spPr>
                    <a:gradFill>
                      <a:gsLst>
                        <a:gs pos="0">
                          <a:schemeClr val="accent5">
                            <a:shade val="68000"/>
                          </a:schemeClr>
                        </a:gs>
                        <a:gs pos="100000">
                          <a:schemeClr val="accent5">
                            <a:shade val="68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9-B5C4-4FA0-8F01-0D16A345628E}"/>
                    </c:ext>
                  </c:extLst>
                </c:dPt>
                <c:dPt>
                  <c:idx val="3"/>
                  <c:bubble3D val="0"/>
                  <c:spPr>
                    <a:gradFill>
                      <a:gsLst>
                        <a:gs pos="0">
                          <a:schemeClr val="accent5">
                            <a:shade val="80000"/>
                          </a:schemeClr>
                        </a:gs>
                        <a:gs pos="100000">
                          <a:schemeClr val="accent5">
                            <a:shade val="80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B-B5C4-4FA0-8F01-0D16A345628E}"/>
                    </c:ext>
                  </c:extLst>
                </c:dPt>
                <c:dPt>
                  <c:idx val="4"/>
                  <c:bubble3D val="0"/>
                  <c:spPr>
                    <a:gradFill>
                      <a:gsLst>
                        <a:gs pos="0">
                          <a:schemeClr val="accent5">
                            <a:shade val="93000"/>
                          </a:schemeClr>
                        </a:gs>
                        <a:gs pos="100000">
                          <a:schemeClr val="accent5">
                            <a:shade val="93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D-B5C4-4FA0-8F01-0D16A345628E}"/>
                    </c:ext>
                  </c:extLst>
                </c:dPt>
                <c:dPt>
                  <c:idx val="5"/>
                  <c:bubble3D val="0"/>
                  <c:spPr>
                    <a:gradFill>
                      <a:gsLst>
                        <a:gs pos="0">
                          <a:schemeClr val="accent5">
                            <a:tint val="94000"/>
                          </a:schemeClr>
                        </a:gs>
                        <a:gs pos="100000">
                          <a:schemeClr val="accent5">
                            <a:tint val="94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F-B5C4-4FA0-8F01-0D16A345628E}"/>
                    </c:ext>
                  </c:extLst>
                </c:dPt>
                <c:dPt>
                  <c:idx val="6"/>
                  <c:bubble3D val="0"/>
                  <c:spPr>
                    <a:gradFill>
                      <a:gsLst>
                        <a:gs pos="0">
                          <a:schemeClr val="accent5">
                            <a:tint val="81000"/>
                          </a:schemeClr>
                        </a:gs>
                        <a:gs pos="100000">
                          <a:schemeClr val="accent5">
                            <a:tint val="81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21-B5C4-4FA0-8F01-0D16A345628E}"/>
                    </c:ext>
                  </c:extLst>
                </c:dPt>
                <c:dPt>
                  <c:idx val="7"/>
                  <c:bubble3D val="0"/>
                  <c:spPr>
                    <a:gradFill>
                      <a:gsLst>
                        <a:gs pos="0">
                          <a:schemeClr val="accent5">
                            <a:tint val="69000"/>
                          </a:schemeClr>
                        </a:gs>
                        <a:gs pos="100000">
                          <a:schemeClr val="accent5">
                            <a:tint val="69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23-B5C4-4FA0-8F01-0D16A345628E}"/>
                    </c:ext>
                  </c:extLst>
                </c:dPt>
                <c:dPt>
                  <c:idx val="8"/>
                  <c:bubble3D val="0"/>
                  <c:spPr>
                    <a:gradFill>
                      <a:gsLst>
                        <a:gs pos="0">
                          <a:schemeClr val="accent5">
                            <a:tint val="56000"/>
                          </a:schemeClr>
                        </a:gs>
                        <a:gs pos="100000">
                          <a:schemeClr val="accent5">
                            <a:tint val="56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25-B5C4-4FA0-8F01-0D16A345628E}"/>
                    </c:ext>
                  </c:extLst>
                </c:dPt>
                <c:dPt>
                  <c:idx val="9"/>
                  <c:bubble3D val="0"/>
                  <c:spPr>
                    <a:gradFill>
                      <a:gsLst>
                        <a:gs pos="0">
                          <a:schemeClr val="accent5">
                            <a:tint val="43000"/>
                          </a:schemeClr>
                        </a:gs>
                        <a:gs pos="100000">
                          <a:schemeClr val="accent5">
                            <a:tint val="430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27-B5C4-4FA0-8F01-0D16A345628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uri="{CE6537A1-D6FC-4f65-9D91-7224C49458BB}"/>
                  </c:extLst>
                </c:dLbls>
                <c:cat>
                  <c:numRef>
                    <c:extLst>
                      <c:ext uri="{02D57815-91ED-43cb-92C2-25804820EDAC}">
                        <c15:formulaRef>
                          <c15:sqref>Sheet1!$M$246:$M$255</c15:sqref>
                        </c15:formulaRef>
                      </c:ext>
                    </c:extLst>
                    <c:numCache>
                      <c:formatCode>General</c:formatCode>
                      <c:ptCount val="10"/>
                      <c:pt idx="0">
                        <c:v>1</c:v>
                      </c:pt>
                      <c:pt idx="2">
                        <c:v>2</c:v>
                      </c:pt>
                      <c:pt idx="4">
                        <c:v>3</c:v>
                      </c:pt>
                      <c:pt idx="6">
                        <c:v>4</c:v>
                      </c:pt>
                      <c:pt idx="8">
                        <c:v>5</c:v>
                      </c:pt>
                    </c:numCache>
                  </c:numRef>
                </c:cat>
                <c:val>
                  <c:numRef>
                    <c:extLst>
                      <c:ext uri="{02D57815-91ED-43cb-92C2-25804820EDAC}">
                        <c15:formulaRef>
                          <c15:sqref>Sheet1!$N$246:$N$255</c15:sqref>
                        </c15:formulaRef>
                      </c:ext>
                    </c:extLst>
                    <c:numCache>
                      <c:formatCode>General</c:formatCode>
                      <c:ptCount val="10"/>
                    </c:numCache>
                  </c:numRef>
                </c:val>
                <c:extLst>
                  <c:ext xmlns:c16="http://schemas.microsoft.com/office/drawing/2014/chart" uri="{C3380CC4-5D6E-409C-BE32-E72D297353CC}">
                    <c16:uniqueId val="{00000000-659D-4E66-9E1C-A956D4B81E28}"/>
                  </c:ext>
                </c:extLst>
              </c15:ser>
            </c15:filteredPieSeries>
            <c15:filteredPieSeries>
              <c15:ser>
                <c:idx val="2"/>
                <c:order val="2"/>
                <c:dPt>
                  <c:idx val="0"/>
                  <c:bubble3D val="0"/>
                  <c:spPr>
                    <a:gradFill>
                      <a:gsLst>
                        <a:gs pos="0">
                          <a:schemeClr val="accent5">
                            <a:shade val="42000"/>
                          </a:schemeClr>
                        </a:gs>
                        <a:gs pos="100000">
                          <a:schemeClr val="accent5">
                            <a:shade val="42000"/>
                            <a:lumMod val="84000"/>
                          </a:schemeClr>
                        </a:gs>
                      </a:gsLst>
                      <a:lin ang="5400000" scaled="1"/>
                    </a:gradFill>
                    <a:ln>
                      <a:noFill/>
                    </a:ln>
                    <a:effectLst>
                      <a:outerShdw blurRad="76200" dir="18900000" sy="23000" kx="-1200000" algn="bl" rotWithShape="0">
                        <a:prstClr val="black">
                          <a:alpha val="20000"/>
                        </a:prstClr>
                      </a:outerShdw>
                    </a:effectLst>
                  </c:spPr>
                  <c:extLst xmlns:c15="http://schemas.microsoft.com/office/drawing/2012/chart">
                    <c:ext xmlns:c16="http://schemas.microsoft.com/office/drawing/2014/chart" uri="{C3380CC4-5D6E-409C-BE32-E72D297353CC}">
                      <c16:uniqueId val="{00000029-B5C4-4FA0-8F01-0D16A345628E}"/>
                    </c:ext>
                  </c:extLst>
                </c:dPt>
                <c:dPt>
                  <c:idx val="1"/>
                  <c:bubble3D val="0"/>
                  <c:spPr>
                    <a:gradFill>
                      <a:gsLst>
                        <a:gs pos="0">
                          <a:schemeClr val="accent5">
                            <a:shade val="55000"/>
                          </a:schemeClr>
                        </a:gs>
                        <a:gs pos="100000">
                          <a:schemeClr val="accent5">
                            <a:shade val="55000"/>
                            <a:lumMod val="84000"/>
                          </a:schemeClr>
                        </a:gs>
                      </a:gsLst>
                      <a:lin ang="5400000" scaled="1"/>
                    </a:gradFill>
                    <a:ln>
                      <a:noFill/>
                    </a:ln>
                    <a:effectLst>
                      <a:outerShdw blurRad="76200" dir="18900000" sy="23000" kx="-1200000" algn="bl" rotWithShape="0">
                        <a:prstClr val="black">
                          <a:alpha val="20000"/>
                        </a:prstClr>
                      </a:outerShdw>
                    </a:effectLst>
                  </c:spPr>
                  <c:extLst xmlns:c15="http://schemas.microsoft.com/office/drawing/2012/chart">
                    <c:ext xmlns:c16="http://schemas.microsoft.com/office/drawing/2014/chart" uri="{C3380CC4-5D6E-409C-BE32-E72D297353CC}">
                      <c16:uniqueId val="{0000002B-B5C4-4FA0-8F01-0D16A345628E}"/>
                    </c:ext>
                  </c:extLst>
                </c:dPt>
                <c:dPt>
                  <c:idx val="2"/>
                  <c:bubble3D val="0"/>
                  <c:spPr>
                    <a:gradFill>
                      <a:gsLst>
                        <a:gs pos="0">
                          <a:schemeClr val="accent5">
                            <a:shade val="68000"/>
                          </a:schemeClr>
                        </a:gs>
                        <a:gs pos="100000">
                          <a:schemeClr val="accent5">
                            <a:shade val="68000"/>
                            <a:lumMod val="84000"/>
                          </a:schemeClr>
                        </a:gs>
                      </a:gsLst>
                      <a:lin ang="5400000" scaled="1"/>
                    </a:gradFill>
                    <a:ln>
                      <a:noFill/>
                    </a:ln>
                    <a:effectLst>
                      <a:outerShdw blurRad="76200" dir="18900000" sy="23000" kx="-1200000" algn="bl" rotWithShape="0">
                        <a:prstClr val="black">
                          <a:alpha val="20000"/>
                        </a:prstClr>
                      </a:outerShdw>
                    </a:effectLst>
                  </c:spPr>
                  <c:extLst xmlns:c15="http://schemas.microsoft.com/office/drawing/2012/chart">
                    <c:ext xmlns:c16="http://schemas.microsoft.com/office/drawing/2014/chart" uri="{C3380CC4-5D6E-409C-BE32-E72D297353CC}">
                      <c16:uniqueId val="{0000002D-B5C4-4FA0-8F01-0D16A345628E}"/>
                    </c:ext>
                  </c:extLst>
                </c:dPt>
                <c:dPt>
                  <c:idx val="3"/>
                  <c:bubble3D val="0"/>
                  <c:spPr>
                    <a:gradFill>
                      <a:gsLst>
                        <a:gs pos="0">
                          <a:schemeClr val="accent5">
                            <a:shade val="80000"/>
                          </a:schemeClr>
                        </a:gs>
                        <a:gs pos="100000">
                          <a:schemeClr val="accent5">
                            <a:shade val="80000"/>
                            <a:lumMod val="84000"/>
                          </a:schemeClr>
                        </a:gs>
                      </a:gsLst>
                      <a:lin ang="5400000" scaled="1"/>
                    </a:gradFill>
                    <a:ln>
                      <a:noFill/>
                    </a:ln>
                    <a:effectLst>
                      <a:outerShdw blurRad="76200" dir="18900000" sy="23000" kx="-1200000" algn="bl" rotWithShape="0">
                        <a:prstClr val="black">
                          <a:alpha val="20000"/>
                        </a:prstClr>
                      </a:outerShdw>
                    </a:effectLst>
                  </c:spPr>
                  <c:extLst xmlns:c15="http://schemas.microsoft.com/office/drawing/2012/chart">
                    <c:ext xmlns:c16="http://schemas.microsoft.com/office/drawing/2014/chart" uri="{C3380CC4-5D6E-409C-BE32-E72D297353CC}">
                      <c16:uniqueId val="{0000002F-B5C4-4FA0-8F01-0D16A345628E}"/>
                    </c:ext>
                  </c:extLst>
                </c:dPt>
                <c:dPt>
                  <c:idx val="4"/>
                  <c:bubble3D val="0"/>
                  <c:spPr>
                    <a:gradFill>
                      <a:gsLst>
                        <a:gs pos="0">
                          <a:schemeClr val="accent5">
                            <a:shade val="93000"/>
                          </a:schemeClr>
                        </a:gs>
                        <a:gs pos="100000">
                          <a:schemeClr val="accent5">
                            <a:shade val="93000"/>
                            <a:lumMod val="84000"/>
                          </a:schemeClr>
                        </a:gs>
                      </a:gsLst>
                      <a:lin ang="5400000" scaled="1"/>
                    </a:gradFill>
                    <a:ln>
                      <a:noFill/>
                    </a:ln>
                    <a:effectLst>
                      <a:outerShdw blurRad="76200" dir="18900000" sy="23000" kx="-1200000" algn="bl" rotWithShape="0">
                        <a:prstClr val="black">
                          <a:alpha val="20000"/>
                        </a:prstClr>
                      </a:outerShdw>
                    </a:effectLst>
                  </c:spPr>
                  <c:extLst xmlns:c15="http://schemas.microsoft.com/office/drawing/2012/chart">
                    <c:ext xmlns:c16="http://schemas.microsoft.com/office/drawing/2014/chart" uri="{C3380CC4-5D6E-409C-BE32-E72D297353CC}">
                      <c16:uniqueId val="{00000031-B5C4-4FA0-8F01-0D16A345628E}"/>
                    </c:ext>
                  </c:extLst>
                </c:dPt>
                <c:dPt>
                  <c:idx val="5"/>
                  <c:bubble3D val="0"/>
                  <c:spPr>
                    <a:gradFill>
                      <a:gsLst>
                        <a:gs pos="0">
                          <a:schemeClr val="accent5">
                            <a:tint val="94000"/>
                          </a:schemeClr>
                        </a:gs>
                        <a:gs pos="100000">
                          <a:schemeClr val="accent5">
                            <a:tint val="94000"/>
                            <a:lumMod val="84000"/>
                          </a:schemeClr>
                        </a:gs>
                      </a:gsLst>
                      <a:lin ang="5400000" scaled="1"/>
                    </a:gradFill>
                    <a:ln>
                      <a:noFill/>
                    </a:ln>
                    <a:effectLst>
                      <a:outerShdw blurRad="76200" dir="18900000" sy="23000" kx="-1200000" algn="bl" rotWithShape="0">
                        <a:prstClr val="black">
                          <a:alpha val="20000"/>
                        </a:prstClr>
                      </a:outerShdw>
                    </a:effectLst>
                  </c:spPr>
                  <c:extLst xmlns:c15="http://schemas.microsoft.com/office/drawing/2012/chart">
                    <c:ext xmlns:c16="http://schemas.microsoft.com/office/drawing/2014/chart" uri="{C3380CC4-5D6E-409C-BE32-E72D297353CC}">
                      <c16:uniqueId val="{00000033-B5C4-4FA0-8F01-0D16A345628E}"/>
                    </c:ext>
                  </c:extLst>
                </c:dPt>
                <c:dPt>
                  <c:idx val="6"/>
                  <c:bubble3D val="0"/>
                  <c:spPr>
                    <a:gradFill>
                      <a:gsLst>
                        <a:gs pos="0">
                          <a:schemeClr val="accent5">
                            <a:tint val="81000"/>
                          </a:schemeClr>
                        </a:gs>
                        <a:gs pos="100000">
                          <a:schemeClr val="accent5">
                            <a:tint val="81000"/>
                            <a:lumMod val="84000"/>
                          </a:schemeClr>
                        </a:gs>
                      </a:gsLst>
                      <a:lin ang="5400000" scaled="1"/>
                    </a:gradFill>
                    <a:ln>
                      <a:noFill/>
                    </a:ln>
                    <a:effectLst>
                      <a:outerShdw blurRad="76200" dir="18900000" sy="23000" kx="-1200000" algn="bl" rotWithShape="0">
                        <a:prstClr val="black">
                          <a:alpha val="20000"/>
                        </a:prstClr>
                      </a:outerShdw>
                    </a:effectLst>
                  </c:spPr>
                  <c:extLst xmlns:c15="http://schemas.microsoft.com/office/drawing/2012/chart">
                    <c:ext xmlns:c16="http://schemas.microsoft.com/office/drawing/2014/chart" uri="{C3380CC4-5D6E-409C-BE32-E72D297353CC}">
                      <c16:uniqueId val="{00000035-B5C4-4FA0-8F01-0D16A345628E}"/>
                    </c:ext>
                  </c:extLst>
                </c:dPt>
                <c:dPt>
                  <c:idx val="7"/>
                  <c:bubble3D val="0"/>
                  <c:spPr>
                    <a:gradFill>
                      <a:gsLst>
                        <a:gs pos="0">
                          <a:schemeClr val="accent5">
                            <a:tint val="69000"/>
                          </a:schemeClr>
                        </a:gs>
                        <a:gs pos="100000">
                          <a:schemeClr val="accent5">
                            <a:tint val="69000"/>
                            <a:lumMod val="84000"/>
                          </a:schemeClr>
                        </a:gs>
                      </a:gsLst>
                      <a:lin ang="5400000" scaled="1"/>
                    </a:gradFill>
                    <a:ln>
                      <a:noFill/>
                    </a:ln>
                    <a:effectLst>
                      <a:outerShdw blurRad="76200" dir="18900000" sy="23000" kx="-1200000" algn="bl" rotWithShape="0">
                        <a:prstClr val="black">
                          <a:alpha val="20000"/>
                        </a:prstClr>
                      </a:outerShdw>
                    </a:effectLst>
                  </c:spPr>
                  <c:extLst xmlns:c15="http://schemas.microsoft.com/office/drawing/2012/chart">
                    <c:ext xmlns:c16="http://schemas.microsoft.com/office/drawing/2014/chart" uri="{C3380CC4-5D6E-409C-BE32-E72D297353CC}">
                      <c16:uniqueId val="{00000037-B5C4-4FA0-8F01-0D16A345628E}"/>
                    </c:ext>
                  </c:extLst>
                </c:dPt>
                <c:dPt>
                  <c:idx val="8"/>
                  <c:bubble3D val="0"/>
                  <c:spPr>
                    <a:gradFill>
                      <a:gsLst>
                        <a:gs pos="0">
                          <a:schemeClr val="accent5">
                            <a:tint val="56000"/>
                          </a:schemeClr>
                        </a:gs>
                        <a:gs pos="100000">
                          <a:schemeClr val="accent5">
                            <a:tint val="56000"/>
                            <a:lumMod val="84000"/>
                          </a:schemeClr>
                        </a:gs>
                      </a:gsLst>
                      <a:lin ang="5400000" scaled="1"/>
                    </a:gradFill>
                    <a:ln>
                      <a:noFill/>
                    </a:ln>
                    <a:effectLst>
                      <a:outerShdw blurRad="76200" dir="18900000" sy="23000" kx="-1200000" algn="bl" rotWithShape="0">
                        <a:prstClr val="black">
                          <a:alpha val="20000"/>
                        </a:prstClr>
                      </a:outerShdw>
                    </a:effectLst>
                  </c:spPr>
                  <c:extLst xmlns:c15="http://schemas.microsoft.com/office/drawing/2012/chart">
                    <c:ext xmlns:c16="http://schemas.microsoft.com/office/drawing/2014/chart" uri="{C3380CC4-5D6E-409C-BE32-E72D297353CC}">
                      <c16:uniqueId val="{00000039-B5C4-4FA0-8F01-0D16A345628E}"/>
                    </c:ext>
                  </c:extLst>
                </c:dPt>
                <c:dPt>
                  <c:idx val="9"/>
                  <c:bubble3D val="0"/>
                  <c:spPr>
                    <a:gradFill>
                      <a:gsLst>
                        <a:gs pos="0">
                          <a:schemeClr val="accent5">
                            <a:tint val="43000"/>
                          </a:schemeClr>
                        </a:gs>
                        <a:gs pos="100000">
                          <a:schemeClr val="accent5">
                            <a:tint val="43000"/>
                            <a:lumMod val="84000"/>
                          </a:schemeClr>
                        </a:gs>
                      </a:gsLst>
                      <a:lin ang="5400000" scaled="1"/>
                    </a:gradFill>
                    <a:ln>
                      <a:noFill/>
                    </a:ln>
                    <a:effectLst>
                      <a:outerShdw blurRad="76200" dir="18900000" sy="23000" kx="-1200000" algn="bl" rotWithShape="0">
                        <a:prstClr val="black">
                          <a:alpha val="20000"/>
                        </a:prstClr>
                      </a:outerShdw>
                    </a:effectLst>
                  </c:spPr>
                  <c:extLst xmlns:c15="http://schemas.microsoft.com/office/drawing/2012/chart">
                    <c:ext xmlns:c16="http://schemas.microsoft.com/office/drawing/2014/chart" uri="{C3380CC4-5D6E-409C-BE32-E72D297353CC}">
                      <c16:uniqueId val="{0000003B-B5C4-4FA0-8F01-0D16A345628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numRef>
                    <c:extLst xmlns:c15="http://schemas.microsoft.com/office/drawing/2012/chart">
                      <c:ext xmlns:c15="http://schemas.microsoft.com/office/drawing/2012/chart" uri="{02D57815-91ED-43cb-92C2-25804820EDAC}">
                        <c15:formulaRef>
                          <c15:sqref>Sheet1!$M$246:$M$255</c15:sqref>
                        </c15:formulaRef>
                      </c:ext>
                    </c:extLst>
                    <c:numCache>
                      <c:formatCode>General</c:formatCode>
                      <c:ptCount val="10"/>
                      <c:pt idx="0">
                        <c:v>1</c:v>
                      </c:pt>
                      <c:pt idx="2">
                        <c:v>2</c:v>
                      </c:pt>
                      <c:pt idx="4">
                        <c:v>3</c:v>
                      </c:pt>
                      <c:pt idx="6">
                        <c:v>4</c:v>
                      </c:pt>
                      <c:pt idx="8">
                        <c:v>5</c:v>
                      </c:pt>
                    </c:numCache>
                  </c:numRef>
                </c:cat>
                <c:val>
                  <c:numRef>
                    <c:extLst xmlns:c15="http://schemas.microsoft.com/office/drawing/2012/chart">
                      <c:ext xmlns:c15="http://schemas.microsoft.com/office/drawing/2012/chart" uri="{02D57815-91ED-43cb-92C2-25804820EDAC}">
                        <c15:formulaRef>
                          <c15:sqref>Sheet1!$P$246:$P$255</c15:sqref>
                        </c15:formulaRef>
                      </c:ext>
                    </c:extLst>
                    <c:numCache>
                      <c:formatCode>General</c:formatCode>
                      <c:ptCount val="10"/>
                    </c:numCache>
                  </c:numRef>
                </c:val>
                <c:extLst xmlns:c15="http://schemas.microsoft.com/office/drawing/2012/chart">
                  <c:ext xmlns:c16="http://schemas.microsoft.com/office/drawing/2014/chart" uri="{C3380CC4-5D6E-409C-BE32-E72D297353CC}">
                    <c16:uniqueId val="{00000002-659D-4E66-9E1C-A956D4B81E28}"/>
                  </c:ext>
                </c:extLst>
              </c15:ser>
            </c15:filteredPieSeries>
          </c:ext>
        </c:extLst>
      </c:pieChart>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sz="1600">
                <a:latin typeface="Times New Roman" panose="02020603050405020304" pitchFamily="18" charset="0"/>
                <a:cs typeface="Times New Roman" panose="02020603050405020304" pitchFamily="18" charset="0"/>
              </a:rPr>
              <a:t> Do you feel more confident online than in Real life?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1"/>
          <c:order val="1"/>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Sheet1!$L$282:$L$285</c:f>
              <c:strCache>
                <c:ptCount val="3"/>
                <c:pt idx="0">
                  <c:v>YES</c:v>
                </c:pt>
                <c:pt idx="2">
                  <c:v>NO</c:v>
                </c:pt>
              </c:strCache>
            </c:strRef>
          </c:cat>
          <c:val>
            <c:numRef>
              <c:f>Sheet1!$N$282:$N$285</c:f>
              <c:numCache>
                <c:formatCode>General</c:formatCode>
                <c:ptCount val="4"/>
                <c:pt idx="0">
                  <c:v>104</c:v>
                </c:pt>
                <c:pt idx="2">
                  <c:v>86</c:v>
                </c:pt>
              </c:numCache>
            </c:numRef>
          </c:val>
          <c:extLst>
            <c:ext xmlns:c16="http://schemas.microsoft.com/office/drawing/2014/chart" uri="{C3380CC4-5D6E-409C-BE32-E72D297353CC}">
              <c16:uniqueId val="{00000001-95FA-449A-AFBE-B81BF2C203E3}"/>
            </c:ext>
          </c:extLst>
        </c:ser>
        <c:dLbls>
          <c:showLegendKey val="0"/>
          <c:showVal val="1"/>
          <c:showCatName val="0"/>
          <c:showSerName val="0"/>
          <c:showPercent val="0"/>
          <c:showBubbleSize val="0"/>
        </c:dLbls>
        <c:gapWidth val="150"/>
        <c:gapDepth val="0"/>
        <c:shape val="box"/>
        <c:axId val="1175602416"/>
        <c:axId val="857169136"/>
        <c:axId val="0"/>
        <c:extLst>
          <c:ext xmlns:c15="http://schemas.microsoft.com/office/drawing/2012/chart" uri="{02D57815-91ED-43cb-92C2-25804820EDAC}">
            <c15:filteredBarSeries>
              <c15:ser>
                <c:idx val="0"/>
                <c:order val="0"/>
                <c:spPr>
                  <a:gradFill flip="none" rotWithShape="1">
                    <a:gsLst>
                      <a:gs pos="100000">
                        <a:schemeClr val="accent1">
                          <a:shade val="65000"/>
                          <a:alpha val="0"/>
                        </a:schemeClr>
                      </a:gs>
                      <a:gs pos="50000">
                        <a:schemeClr val="accent1">
                          <a:shade val="65000"/>
                        </a:schemeClr>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ormulaRef>
                          <c15:sqref>Sheet1!$L$282:$L$285</c15:sqref>
                        </c15:formulaRef>
                      </c:ext>
                    </c:extLst>
                    <c:strCache>
                      <c:ptCount val="3"/>
                      <c:pt idx="0">
                        <c:v>YES</c:v>
                      </c:pt>
                      <c:pt idx="2">
                        <c:v>NO</c:v>
                      </c:pt>
                    </c:strCache>
                  </c:strRef>
                </c:cat>
                <c:val>
                  <c:numRef>
                    <c:extLst>
                      <c:ext uri="{02D57815-91ED-43cb-92C2-25804820EDAC}">
                        <c15:formulaRef>
                          <c15:sqref>Sheet1!$M$282:$M$285</c15:sqref>
                        </c15:formulaRef>
                      </c:ext>
                    </c:extLst>
                    <c:numCache>
                      <c:formatCode>General</c:formatCode>
                      <c:ptCount val="4"/>
                    </c:numCache>
                  </c:numRef>
                </c:val>
                <c:extLst>
                  <c:ext xmlns:c16="http://schemas.microsoft.com/office/drawing/2014/chart" uri="{C3380CC4-5D6E-409C-BE32-E72D297353CC}">
                    <c16:uniqueId val="{00000000-95FA-449A-AFBE-B81BF2C203E3}"/>
                  </c:ext>
                </c:extLst>
              </c15:ser>
            </c15:filteredBarSeries>
            <c15:filteredBarSeries>
              <c15:ser>
                <c:idx val="2"/>
                <c:order val="2"/>
                <c:spPr>
                  <a:gradFill flip="none" rotWithShape="1">
                    <a:gsLst>
                      <a:gs pos="100000">
                        <a:schemeClr val="accent1">
                          <a:tint val="65000"/>
                          <a:alpha val="0"/>
                        </a:schemeClr>
                      </a:gs>
                      <a:gs pos="50000">
                        <a:schemeClr val="accent1">
                          <a:tint val="65000"/>
                        </a:schemeClr>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xmlns:c15="http://schemas.microsoft.com/office/drawing/2012/chart">
                      <c:ext xmlns:c15="http://schemas.microsoft.com/office/drawing/2012/chart" uri="{02D57815-91ED-43cb-92C2-25804820EDAC}">
                        <c15:formulaRef>
                          <c15:sqref>Sheet1!$L$282:$L$285</c15:sqref>
                        </c15:formulaRef>
                      </c:ext>
                    </c:extLst>
                    <c:strCache>
                      <c:ptCount val="3"/>
                      <c:pt idx="0">
                        <c:v>YES</c:v>
                      </c:pt>
                      <c:pt idx="2">
                        <c:v>NO</c:v>
                      </c:pt>
                    </c:strCache>
                  </c:strRef>
                </c:cat>
                <c:val>
                  <c:numRef>
                    <c:extLst xmlns:c15="http://schemas.microsoft.com/office/drawing/2012/chart">
                      <c:ext xmlns:c15="http://schemas.microsoft.com/office/drawing/2012/chart" uri="{02D57815-91ED-43cb-92C2-25804820EDAC}">
                        <c15:formulaRef>
                          <c15:sqref>Sheet1!$O$282:$O$285</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2-95FA-449A-AFBE-B81BF2C203E3}"/>
                  </c:ext>
                </c:extLst>
              </c15:ser>
            </c15:filteredBarSeries>
          </c:ext>
        </c:extLst>
      </c:bar3DChart>
      <c:catAx>
        <c:axId val="1175602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57169136"/>
        <c:crosses val="autoZero"/>
        <c:auto val="1"/>
        <c:lblAlgn val="ctr"/>
        <c:lblOffset val="100"/>
        <c:noMultiLvlLbl val="0"/>
      </c:catAx>
      <c:valAx>
        <c:axId val="857169136"/>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602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GB" sz="1800" b="1" i="0" u="none" strike="noStrike" baseline="0">
                <a:effectLst/>
                <a:latin typeface="Times New Roman" panose="02020603050405020304" pitchFamily="18" charset="0"/>
                <a:cs typeface="Times New Roman" panose="02020603050405020304" pitchFamily="18" charset="0"/>
              </a:rPr>
              <a:t>When posting online, how often do you edit or filter your content?</a:t>
            </a:r>
            <a:r>
              <a:rPr lang="en-GB" b="0" i="0" u="none" strike="noStrike" baseline="0">
                <a:effectLst/>
                <a:latin typeface="Times New Roman" panose="02020603050405020304" pitchFamily="18" charset="0"/>
                <a:cs typeface="Times New Roman" panose="02020603050405020304" pitchFamily="18" charset="0"/>
              </a:rPr>
              <a:t> </a:t>
            </a:r>
            <a:endParaRPr lang="en-GB">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GB"/>
        </a:p>
      </c:txPr>
    </c:title>
    <c:autoTitleDeleted val="0"/>
    <c:plotArea>
      <c:layout/>
      <c:barChart>
        <c:barDir val="col"/>
        <c:grouping val="clustered"/>
        <c:varyColors val="0"/>
        <c:ser>
          <c:idx val="1"/>
          <c:order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Sheet1!$L$310:$L$317</c:f>
              <c:strCache>
                <c:ptCount val="7"/>
                <c:pt idx="0">
                  <c:v>Always</c:v>
                </c:pt>
                <c:pt idx="2">
                  <c:v>Often</c:v>
                </c:pt>
                <c:pt idx="4">
                  <c:v>Sometimes</c:v>
                </c:pt>
                <c:pt idx="6">
                  <c:v>Never</c:v>
                </c:pt>
              </c:strCache>
            </c:strRef>
          </c:cat>
          <c:val>
            <c:numRef>
              <c:f>Sheet1!$N$310:$N$317</c:f>
              <c:numCache>
                <c:formatCode>General</c:formatCode>
                <c:ptCount val="8"/>
                <c:pt idx="0">
                  <c:v>37</c:v>
                </c:pt>
                <c:pt idx="2">
                  <c:v>75</c:v>
                </c:pt>
                <c:pt idx="4">
                  <c:v>66</c:v>
                </c:pt>
                <c:pt idx="6">
                  <c:v>61</c:v>
                </c:pt>
              </c:numCache>
            </c:numRef>
          </c:val>
          <c:extLst>
            <c:ext xmlns:c16="http://schemas.microsoft.com/office/drawing/2014/chart" uri="{C3380CC4-5D6E-409C-BE32-E72D297353CC}">
              <c16:uniqueId val="{00000001-F386-491F-B530-486773053A76}"/>
            </c:ext>
          </c:extLst>
        </c:ser>
        <c:dLbls>
          <c:dLblPos val="inEnd"/>
          <c:showLegendKey val="0"/>
          <c:showVal val="1"/>
          <c:showCatName val="0"/>
          <c:showSerName val="0"/>
          <c:showPercent val="0"/>
          <c:showBubbleSize val="0"/>
        </c:dLbls>
        <c:gapWidth val="41"/>
        <c:axId val="1175601616"/>
        <c:axId val="1320385360"/>
        <c:extLst>
          <c:ext xmlns:c15="http://schemas.microsoft.com/office/drawing/2012/chart" uri="{02D57815-91ED-43cb-92C2-25804820EDAC}">
            <c15:filteredBarSeries>
              <c15:ser>
                <c:idx val="0"/>
                <c:order val="0"/>
                <c:spPr>
                  <a:gradFill>
                    <a:gsLst>
                      <a:gs pos="0">
                        <a:schemeClr val="accent1">
                          <a:shade val="65000"/>
                        </a:schemeClr>
                      </a:gs>
                      <a:gs pos="100000">
                        <a:schemeClr val="accent1">
                          <a:shade val="65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strRef>
                    <c:extLst>
                      <c:ext uri="{02D57815-91ED-43cb-92C2-25804820EDAC}">
                        <c15:formulaRef>
                          <c15:sqref>Sheet1!$L$310:$L$317</c15:sqref>
                        </c15:formulaRef>
                      </c:ext>
                    </c:extLst>
                    <c:strCache>
                      <c:ptCount val="7"/>
                      <c:pt idx="0">
                        <c:v>Always</c:v>
                      </c:pt>
                      <c:pt idx="2">
                        <c:v>Often</c:v>
                      </c:pt>
                      <c:pt idx="4">
                        <c:v>Sometimes</c:v>
                      </c:pt>
                      <c:pt idx="6">
                        <c:v>Never</c:v>
                      </c:pt>
                    </c:strCache>
                  </c:strRef>
                </c:cat>
                <c:val>
                  <c:numRef>
                    <c:extLst>
                      <c:ext uri="{02D57815-91ED-43cb-92C2-25804820EDAC}">
                        <c15:formulaRef>
                          <c15:sqref>Sheet1!$M$310:$M$317</c15:sqref>
                        </c15:formulaRef>
                      </c:ext>
                    </c:extLst>
                    <c:numCache>
                      <c:formatCode>General</c:formatCode>
                      <c:ptCount val="8"/>
                    </c:numCache>
                  </c:numRef>
                </c:val>
                <c:extLst>
                  <c:ext xmlns:c16="http://schemas.microsoft.com/office/drawing/2014/chart" uri="{C3380CC4-5D6E-409C-BE32-E72D297353CC}">
                    <c16:uniqueId val="{00000000-F386-491F-B530-486773053A76}"/>
                  </c:ext>
                </c:extLst>
              </c15:ser>
            </c15:filteredBarSeries>
            <c15:filteredBarSeries>
              <c15:ser>
                <c:idx val="2"/>
                <c:order val="2"/>
                <c:spPr>
                  <a:gradFill>
                    <a:gsLst>
                      <a:gs pos="0">
                        <a:schemeClr val="accent1">
                          <a:tint val="65000"/>
                        </a:schemeClr>
                      </a:gs>
                      <a:gs pos="100000">
                        <a:schemeClr val="accent1">
                          <a:tint val="65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Sheet1!$L$310:$L$317</c15:sqref>
                        </c15:formulaRef>
                      </c:ext>
                    </c:extLst>
                    <c:strCache>
                      <c:ptCount val="7"/>
                      <c:pt idx="0">
                        <c:v>Always</c:v>
                      </c:pt>
                      <c:pt idx="2">
                        <c:v>Often</c:v>
                      </c:pt>
                      <c:pt idx="4">
                        <c:v>Sometimes</c:v>
                      </c:pt>
                      <c:pt idx="6">
                        <c:v>Never</c:v>
                      </c:pt>
                    </c:strCache>
                  </c:strRef>
                </c:cat>
                <c:val>
                  <c:numRef>
                    <c:extLst xmlns:c15="http://schemas.microsoft.com/office/drawing/2012/chart">
                      <c:ext xmlns:c15="http://schemas.microsoft.com/office/drawing/2012/chart" uri="{02D57815-91ED-43cb-92C2-25804820EDAC}">
                        <c15:formulaRef>
                          <c15:sqref>Sheet1!$O$310:$O$317</c15:sqref>
                        </c15:formulaRef>
                      </c:ext>
                    </c:extLst>
                    <c:numCache>
                      <c:formatCode>General</c:formatCode>
                      <c:ptCount val="8"/>
                    </c:numCache>
                  </c:numRef>
                </c:val>
                <c:extLst xmlns:c15="http://schemas.microsoft.com/office/drawing/2012/chart">
                  <c:ext xmlns:c16="http://schemas.microsoft.com/office/drawing/2014/chart" uri="{C3380CC4-5D6E-409C-BE32-E72D297353CC}">
                    <c16:uniqueId val="{00000002-F386-491F-B530-486773053A76}"/>
                  </c:ext>
                </c:extLst>
              </c15:ser>
            </c15:filteredBarSeries>
          </c:ext>
        </c:extLst>
      </c:barChart>
      <c:catAx>
        <c:axId val="1175601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lumMod val="65000"/>
                    <a:lumOff val="35000"/>
                  </a:schemeClr>
                </a:solidFill>
                <a:effectLst/>
                <a:latin typeface="Times New Roman" panose="02020603050405020304" pitchFamily="18" charset="0"/>
                <a:ea typeface="+mn-ea"/>
                <a:cs typeface="Times New Roman" panose="02020603050405020304" pitchFamily="18" charset="0"/>
              </a:defRPr>
            </a:pPr>
            <a:endParaRPr lang="en-US"/>
          </a:p>
        </c:txPr>
        <c:crossAx val="1320385360"/>
        <c:crosses val="autoZero"/>
        <c:auto val="1"/>
        <c:lblAlgn val="ctr"/>
        <c:lblOffset val="100"/>
        <c:noMultiLvlLbl val="0"/>
      </c:catAx>
      <c:valAx>
        <c:axId val="1320385360"/>
        <c:scaling>
          <c:orientation val="minMax"/>
        </c:scaling>
        <c:delete val="1"/>
        <c:axPos val="l"/>
        <c:numFmt formatCode="General" sourceLinked="1"/>
        <c:majorTickMark val="none"/>
        <c:minorTickMark val="none"/>
        <c:tickLblPos val="nextTo"/>
        <c:crossAx val="1175601616"/>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199</xdr:row>
      <xdr:rowOff>0</xdr:rowOff>
    </xdr:from>
    <xdr:to>
      <xdr:col>6</xdr:col>
      <xdr:colOff>304800</xdr:colOff>
      <xdr:row>200</xdr:row>
      <xdr:rowOff>120650</xdr:rowOff>
    </xdr:to>
    <xdr:sp macro="" textlink="">
      <xdr:nvSpPr>
        <xdr:cNvPr id="1026" name="AutoShape 2" descr="Forms response chart. Question title: On the scale of 1-5, how real do you think your online personality is?. Number of responses: 194 responses.">
          <a:extLst>
            <a:ext uri="{FF2B5EF4-FFF2-40B4-BE49-F238E27FC236}">
              <a16:creationId xmlns:a16="http://schemas.microsoft.com/office/drawing/2014/main" id="{E4AB18A6-AF36-459A-92D7-B86A3C11A997}"/>
            </a:ext>
          </a:extLst>
        </xdr:cNvPr>
        <xdr:cNvSpPr>
          <a:spLocks noChangeAspect="1" noChangeArrowheads="1"/>
        </xdr:cNvSpPr>
      </xdr:nvSpPr>
      <xdr:spPr bwMode="auto">
        <a:xfrm>
          <a:off x="8572500" y="9948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712712</xdr:colOff>
      <xdr:row>199</xdr:row>
      <xdr:rowOff>25890</xdr:rowOff>
    </xdr:from>
    <xdr:to>
      <xdr:col>8</xdr:col>
      <xdr:colOff>201689</xdr:colOff>
      <xdr:row>227</xdr:row>
      <xdr:rowOff>37611</xdr:rowOff>
    </xdr:to>
    <xdr:graphicFrame macro="">
      <xdr:nvGraphicFramePr>
        <xdr:cNvPr id="11" name="Chart 10">
          <a:extLst>
            <a:ext uri="{FF2B5EF4-FFF2-40B4-BE49-F238E27FC236}">
              <a16:creationId xmlns:a16="http://schemas.microsoft.com/office/drawing/2014/main" id="{DF27297B-1880-42C6-AD0E-504C4A109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585712</xdr:colOff>
      <xdr:row>234</xdr:row>
      <xdr:rowOff>31750</xdr:rowOff>
    </xdr:from>
    <xdr:to>
      <xdr:col>8</xdr:col>
      <xdr:colOff>393700</xdr:colOff>
      <xdr:row>260</xdr:row>
      <xdr:rowOff>127000</xdr:rowOff>
    </xdr:to>
    <xdr:graphicFrame macro="">
      <xdr:nvGraphicFramePr>
        <xdr:cNvPr id="16" name="Chart 15">
          <a:extLst>
            <a:ext uri="{FF2B5EF4-FFF2-40B4-BE49-F238E27FC236}">
              <a16:creationId xmlns:a16="http://schemas.microsoft.com/office/drawing/2014/main" id="{EB5856DA-3D10-4E12-AB63-19EA744A6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546100</xdr:colOff>
      <xdr:row>265</xdr:row>
      <xdr:rowOff>38100</xdr:rowOff>
    </xdr:from>
    <xdr:to>
      <xdr:col>8</xdr:col>
      <xdr:colOff>419100</xdr:colOff>
      <xdr:row>291</xdr:row>
      <xdr:rowOff>152400</xdr:rowOff>
    </xdr:to>
    <xdr:graphicFrame macro="">
      <xdr:nvGraphicFramePr>
        <xdr:cNvPr id="17" name="Chart 16">
          <a:extLst>
            <a:ext uri="{FF2B5EF4-FFF2-40B4-BE49-F238E27FC236}">
              <a16:creationId xmlns:a16="http://schemas.microsoft.com/office/drawing/2014/main" id="{A4328C51-AFA4-45D9-91E9-A538BBCF7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482600</xdr:colOff>
      <xdr:row>296</xdr:row>
      <xdr:rowOff>139701</xdr:rowOff>
    </xdr:from>
    <xdr:to>
      <xdr:col>8</xdr:col>
      <xdr:colOff>381000</xdr:colOff>
      <xdr:row>324</xdr:row>
      <xdr:rowOff>114301</xdr:rowOff>
    </xdr:to>
    <xdr:graphicFrame macro="">
      <xdr:nvGraphicFramePr>
        <xdr:cNvPr id="18" name="Chart 17">
          <a:extLst>
            <a:ext uri="{FF2B5EF4-FFF2-40B4-BE49-F238E27FC236}">
              <a16:creationId xmlns:a16="http://schemas.microsoft.com/office/drawing/2014/main" id="{50B6F927-CD5B-43B9-A8DB-EBDF4BF18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23"/>
  <sheetViews>
    <sheetView tabSelected="1" zoomScale="50" zoomScaleNormal="50" workbookViewId="0">
      <selection activeCell="I9" sqref="I9"/>
    </sheetView>
  </sheetViews>
  <sheetFormatPr defaultRowHeight="14.4" x14ac:dyDescent="0.3"/>
  <cols>
    <col min="1" max="1" width="30.6640625" style="4" customWidth="1"/>
    <col min="2" max="2" width="10.44140625" style="3" customWidth="1"/>
    <col min="3" max="3" width="11.21875" style="3" customWidth="1"/>
    <col min="4" max="4" width="17" style="2" customWidth="1"/>
    <col min="5" max="5" width="26.109375" style="2" customWidth="1"/>
    <col min="6" max="6" width="28.44140625" style="4" bestFit="1" customWidth="1"/>
    <col min="7" max="7" width="25.33203125" style="2" customWidth="1"/>
    <col min="8" max="8" width="14.6640625" style="3" customWidth="1"/>
    <col min="9" max="9" width="16.33203125" style="3" bestFit="1" customWidth="1"/>
    <col min="10" max="10" width="15.77734375" style="3" customWidth="1"/>
    <col min="11" max="11" width="19.21875" style="3" customWidth="1"/>
    <col min="12" max="12" width="15" style="3" customWidth="1"/>
    <col min="13" max="13" width="17" style="3" bestFit="1" customWidth="1"/>
    <col min="14" max="14" width="12.44140625" style="3" customWidth="1"/>
    <col min="15" max="15" width="17.21875" style="3" bestFit="1" customWidth="1"/>
    <col min="16" max="16" width="26.6640625" style="1" customWidth="1"/>
  </cols>
  <sheetData>
    <row r="1" spans="1:20" ht="36" customHeight="1" thickTop="1" thickBot="1" x14ac:dyDescent="0.35">
      <c r="A1" s="30" t="s">
        <v>556</v>
      </c>
      <c r="B1" s="31"/>
      <c r="C1" s="31"/>
      <c r="D1" s="31"/>
      <c r="E1" s="31"/>
      <c r="F1" s="32"/>
      <c r="G1" s="32"/>
      <c r="H1" s="32"/>
      <c r="I1" s="32"/>
      <c r="J1" s="32"/>
      <c r="K1" s="32"/>
      <c r="L1" s="32"/>
      <c r="M1" s="32"/>
      <c r="N1" s="32"/>
      <c r="O1" s="32"/>
      <c r="P1" s="33"/>
    </row>
    <row r="2" spans="1:20" s="5" customFormat="1" ht="109.95" customHeight="1" thickBot="1" x14ac:dyDescent="0.35">
      <c r="A2" s="22" t="s">
        <v>195</v>
      </c>
      <c r="B2" s="22" t="s">
        <v>196</v>
      </c>
      <c r="C2" s="22" t="s">
        <v>197</v>
      </c>
      <c r="D2" s="22" t="s">
        <v>200</v>
      </c>
      <c r="E2" s="22" t="s">
        <v>210</v>
      </c>
      <c r="F2" s="23" t="s">
        <v>215</v>
      </c>
      <c r="G2" s="24" t="s">
        <v>260</v>
      </c>
      <c r="H2" s="23" t="s">
        <v>393</v>
      </c>
      <c r="I2" s="8" t="s">
        <v>398</v>
      </c>
      <c r="J2" s="8" t="s">
        <v>400</v>
      </c>
      <c r="K2" s="8" t="s">
        <v>401</v>
      </c>
      <c r="L2" s="8" t="s">
        <v>406</v>
      </c>
      <c r="M2" s="8" t="s">
        <v>410</v>
      </c>
      <c r="N2" s="8" t="s">
        <v>411</v>
      </c>
      <c r="O2" s="8" t="s">
        <v>413</v>
      </c>
      <c r="P2" s="9" t="s">
        <v>415</v>
      </c>
    </row>
    <row r="3" spans="1:20" ht="10.5" hidden="1" customHeight="1" x14ac:dyDescent="0.3">
      <c r="A3" s="6"/>
      <c r="B3" s="3" t="s">
        <v>191</v>
      </c>
      <c r="C3" s="3" t="s">
        <v>198</v>
      </c>
      <c r="D3" s="2" t="s">
        <v>201</v>
      </c>
      <c r="E3" s="2" t="s">
        <v>211</v>
      </c>
      <c r="F3" s="4" t="s">
        <v>216</v>
      </c>
      <c r="H3" s="3" t="s">
        <v>394</v>
      </c>
      <c r="I3" s="3" t="s">
        <v>397</v>
      </c>
      <c r="J3" s="3" t="s">
        <v>395</v>
      </c>
      <c r="L3" s="3" t="s">
        <v>407</v>
      </c>
      <c r="M3" s="3">
        <v>5</v>
      </c>
      <c r="N3" s="3" t="s">
        <v>412</v>
      </c>
      <c r="O3" s="3" t="s">
        <v>414</v>
      </c>
      <c r="P3" s="7"/>
    </row>
    <row r="4" spans="1:20" ht="40.049999999999997" customHeight="1" x14ac:dyDescent="0.3">
      <c r="A4" s="12" t="s">
        <v>0</v>
      </c>
      <c r="B4" s="13" t="s">
        <v>190</v>
      </c>
      <c r="C4" s="13" t="s">
        <v>199</v>
      </c>
      <c r="D4" s="14" t="s">
        <v>202</v>
      </c>
      <c r="E4" s="14" t="s">
        <v>212</v>
      </c>
      <c r="F4" s="15" t="s">
        <v>217</v>
      </c>
      <c r="G4" s="14" t="s">
        <v>261</v>
      </c>
      <c r="H4" s="13" t="s">
        <v>395</v>
      </c>
      <c r="I4" s="13" t="s">
        <v>395</v>
      </c>
      <c r="J4" s="13" t="s">
        <v>394</v>
      </c>
      <c r="K4" s="13" t="s">
        <v>402</v>
      </c>
      <c r="L4" s="13" t="s">
        <v>408</v>
      </c>
      <c r="M4" s="13">
        <v>5</v>
      </c>
      <c r="N4" s="13" t="s">
        <v>381</v>
      </c>
      <c r="O4" s="13" t="s">
        <v>414</v>
      </c>
      <c r="P4" s="16" t="s">
        <v>416</v>
      </c>
      <c r="R4" s="25"/>
    </row>
    <row r="5" spans="1:20" ht="40.049999999999997" customHeight="1" x14ac:dyDescent="0.3">
      <c r="A5" s="12" t="s">
        <v>2</v>
      </c>
      <c r="B5" s="13" t="s">
        <v>192</v>
      </c>
      <c r="C5" s="13" t="s">
        <v>199</v>
      </c>
      <c r="D5" s="14" t="s">
        <v>202</v>
      </c>
      <c r="E5" s="14" t="s">
        <v>212</v>
      </c>
      <c r="F5" s="15" t="s">
        <v>218</v>
      </c>
      <c r="G5" s="14"/>
      <c r="H5" s="13" t="s">
        <v>396</v>
      </c>
      <c r="I5" s="13" t="s">
        <v>397</v>
      </c>
      <c r="J5" s="13" t="s">
        <v>399</v>
      </c>
      <c r="K5" s="13" t="s">
        <v>403</v>
      </c>
      <c r="L5" s="13" t="s">
        <v>407</v>
      </c>
      <c r="M5" s="13">
        <v>3</v>
      </c>
      <c r="N5" s="13" t="s">
        <v>381</v>
      </c>
      <c r="O5" s="13" t="s">
        <v>414</v>
      </c>
      <c r="P5" s="16"/>
      <c r="Q5" s="10"/>
      <c r="R5" s="26"/>
      <c r="S5" s="26"/>
    </row>
    <row r="6" spans="1:20" ht="40.049999999999997" customHeight="1" x14ac:dyDescent="0.3">
      <c r="A6" s="12" t="s">
        <v>3</v>
      </c>
      <c r="B6" s="13" t="s">
        <v>192</v>
      </c>
      <c r="C6" s="13" t="s">
        <v>199</v>
      </c>
      <c r="D6" s="14" t="s">
        <v>202</v>
      </c>
      <c r="E6" s="14" t="s">
        <v>213</v>
      </c>
      <c r="F6" s="15" t="s">
        <v>219</v>
      </c>
      <c r="G6" s="14" t="s">
        <v>262</v>
      </c>
      <c r="H6" s="13" t="s">
        <v>397</v>
      </c>
      <c r="I6" s="13" t="s">
        <v>397</v>
      </c>
      <c r="J6" s="13" t="s">
        <v>397</v>
      </c>
      <c r="K6" s="13" t="s">
        <v>403</v>
      </c>
      <c r="L6" s="13" t="s">
        <v>408</v>
      </c>
      <c r="M6" s="13">
        <v>4</v>
      </c>
      <c r="N6" s="13" t="s">
        <v>381</v>
      </c>
      <c r="O6" s="13" t="s">
        <v>412</v>
      </c>
      <c r="P6" s="16" t="s">
        <v>417</v>
      </c>
      <c r="Q6" s="10"/>
      <c r="R6" s="27"/>
      <c r="S6" s="27"/>
    </row>
    <row r="7" spans="1:20" ht="40.049999999999997" customHeight="1" x14ac:dyDescent="0.3">
      <c r="A7" s="12" t="s">
        <v>4</v>
      </c>
      <c r="B7" s="13" t="s">
        <v>190</v>
      </c>
      <c r="C7" s="13" t="s">
        <v>199</v>
      </c>
      <c r="D7" s="14" t="s">
        <v>202</v>
      </c>
      <c r="E7" s="14" t="s">
        <v>212</v>
      </c>
      <c r="F7" s="15" t="s">
        <v>207</v>
      </c>
      <c r="G7" s="14" t="s">
        <v>263</v>
      </c>
      <c r="H7" s="13" t="s">
        <v>395</v>
      </c>
      <c r="I7" s="13" t="s">
        <v>395</v>
      </c>
      <c r="J7" s="13" t="s">
        <v>395</v>
      </c>
      <c r="K7" s="13" t="s">
        <v>403</v>
      </c>
      <c r="L7" s="13" t="s">
        <v>407</v>
      </c>
      <c r="M7" s="13">
        <v>4</v>
      </c>
      <c r="N7" s="13" t="s">
        <v>381</v>
      </c>
      <c r="O7" s="13" t="s">
        <v>414</v>
      </c>
      <c r="P7" s="16" t="s">
        <v>418</v>
      </c>
      <c r="R7" s="27"/>
      <c r="S7" s="27"/>
    </row>
    <row r="8" spans="1:20" ht="40.049999999999997" customHeight="1" x14ac:dyDescent="0.3">
      <c r="A8" s="12" t="s">
        <v>5</v>
      </c>
      <c r="B8" s="13" t="s">
        <v>192</v>
      </c>
      <c r="C8" s="13" t="s">
        <v>199</v>
      </c>
      <c r="D8" s="14" t="s">
        <v>202</v>
      </c>
      <c r="E8" s="14" t="s">
        <v>213</v>
      </c>
      <c r="F8" s="15" t="s">
        <v>220</v>
      </c>
      <c r="G8" s="14" t="s">
        <v>264</v>
      </c>
      <c r="H8" s="13" t="s">
        <v>395</v>
      </c>
      <c r="I8" s="13" t="s">
        <v>397</v>
      </c>
      <c r="J8" s="13" t="s">
        <v>397</v>
      </c>
      <c r="K8" s="13" t="s">
        <v>403</v>
      </c>
      <c r="L8" s="13" t="s">
        <v>407</v>
      </c>
      <c r="M8" s="13">
        <v>3</v>
      </c>
      <c r="N8" s="13" t="s">
        <v>412</v>
      </c>
      <c r="O8" s="13" t="s">
        <v>381</v>
      </c>
      <c r="P8" s="16" t="s">
        <v>419</v>
      </c>
      <c r="R8" s="28"/>
      <c r="S8" s="29"/>
      <c r="T8" s="11"/>
    </row>
    <row r="9" spans="1:20" ht="40.049999999999997" customHeight="1" x14ac:dyDescent="0.3">
      <c r="A9" s="12" t="s">
        <v>6</v>
      </c>
      <c r="B9" s="13" t="s">
        <v>193</v>
      </c>
      <c r="C9" s="13" t="s">
        <v>198</v>
      </c>
      <c r="D9" s="14" t="s">
        <v>201</v>
      </c>
      <c r="E9" s="14" t="s">
        <v>212</v>
      </c>
      <c r="F9" s="15" t="s">
        <v>221</v>
      </c>
      <c r="G9" s="14" t="s">
        <v>265</v>
      </c>
      <c r="H9" s="13" t="s">
        <v>394</v>
      </c>
      <c r="I9" s="13" t="s">
        <v>397</v>
      </c>
      <c r="J9" s="13" t="s">
        <v>395</v>
      </c>
      <c r="K9" s="13" t="s">
        <v>402</v>
      </c>
      <c r="L9" s="13" t="s">
        <v>407</v>
      </c>
      <c r="M9" s="13">
        <v>5</v>
      </c>
      <c r="N9" s="13" t="s">
        <v>412</v>
      </c>
      <c r="O9" s="13" t="s">
        <v>414</v>
      </c>
      <c r="P9" s="16" t="s">
        <v>420</v>
      </c>
      <c r="R9" s="27"/>
      <c r="S9" s="27"/>
    </row>
    <row r="10" spans="1:20" ht="40.049999999999997" customHeight="1" x14ac:dyDescent="0.3">
      <c r="A10" s="12" t="s">
        <v>7</v>
      </c>
      <c r="B10" s="13" t="s">
        <v>192</v>
      </c>
      <c r="C10" s="13" t="s">
        <v>199</v>
      </c>
      <c r="D10" s="14" t="s">
        <v>202</v>
      </c>
      <c r="E10" s="14" t="s">
        <v>211</v>
      </c>
      <c r="F10" s="15" t="s">
        <v>218</v>
      </c>
      <c r="G10" s="14" t="s">
        <v>266</v>
      </c>
      <c r="H10" s="13" t="s">
        <v>395</v>
      </c>
      <c r="I10" s="13" t="s">
        <v>397</v>
      </c>
      <c r="J10" s="13" t="s">
        <v>399</v>
      </c>
      <c r="K10" s="13" t="s">
        <v>403</v>
      </c>
      <c r="L10" s="13" t="s">
        <v>409</v>
      </c>
      <c r="M10" s="13">
        <v>4</v>
      </c>
      <c r="N10" s="13" t="s">
        <v>412</v>
      </c>
      <c r="O10" s="13" t="s">
        <v>414</v>
      </c>
      <c r="P10" s="16" t="s">
        <v>421</v>
      </c>
      <c r="R10" s="27"/>
      <c r="S10" s="27"/>
    </row>
    <row r="11" spans="1:20" ht="40.049999999999997" customHeight="1" x14ac:dyDescent="0.3">
      <c r="A11" s="12" t="s">
        <v>8</v>
      </c>
      <c r="B11" s="13" t="s">
        <v>190</v>
      </c>
      <c r="C11" s="13" t="s">
        <v>199</v>
      </c>
      <c r="D11" s="14" t="s">
        <v>202</v>
      </c>
      <c r="E11" s="14" t="s">
        <v>211</v>
      </c>
      <c r="F11" s="15" t="s">
        <v>222</v>
      </c>
      <c r="G11" s="14"/>
      <c r="H11" s="13" t="s">
        <v>395</v>
      </c>
      <c r="I11" s="13" t="s">
        <v>395</v>
      </c>
      <c r="J11" s="13" t="s">
        <v>395</v>
      </c>
      <c r="K11" s="13" t="s">
        <v>404</v>
      </c>
      <c r="L11" s="13" t="s">
        <v>409</v>
      </c>
      <c r="M11" s="13">
        <v>5</v>
      </c>
      <c r="N11" s="13" t="s">
        <v>412</v>
      </c>
      <c r="O11" s="13" t="s">
        <v>414</v>
      </c>
      <c r="P11" s="16"/>
    </row>
    <row r="12" spans="1:20" ht="40.049999999999997" customHeight="1" x14ac:dyDescent="0.3">
      <c r="A12" s="12" t="s">
        <v>9</v>
      </c>
      <c r="B12" s="13" t="s">
        <v>192</v>
      </c>
      <c r="C12" s="13" t="s">
        <v>199</v>
      </c>
      <c r="D12" s="14" t="s">
        <v>202</v>
      </c>
      <c r="E12" s="14" t="s">
        <v>211</v>
      </c>
      <c r="F12" s="15" t="s">
        <v>223</v>
      </c>
      <c r="G12" s="14" t="s">
        <v>267</v>
      </c>
      <c r="H12" s="13" t="s">
        <v>397</v>
      </c>
      <c r="I12" s="13" t="s">
        <v>397</v>
      </c>
      <c r="J12" s="13" t="s">
        <v>394</v>
      </c>
      <c r="K12" s="13" t="s">
        <v>403</v>
      </c>
      <c r="L12" s="13" t="s">
        <v>409</v>
      </c>
      <c r="M12" s="13">
        <v>4</v>
      </c>
      <c r="N12" s="13" t="s">
        <v>381</v>
      </c>
      <c r="O12" s="13" t="s">
        <v>381</v>
      </c>
      <c r="P12" s="16" t="s">
        <v>422</v>
      </c>
      <c r="R12" s="27"/>
      <c r="S12" s="27"/>
    </row>
    <row r="13" spans="1:20" ht="40.049999999999997" customHeight="1" x14ac:dyDescent="0.3">
      <c r="A13" s="12" t="s">
        <v>10</v>
      </c>
      <c r="B13" s="13" t="s">
        <v>190</v>
      </c>
      <c r="C13" s="13" t="s">
        <v>199</v>
      </c>
      <c r="D13" s="14" t="s">
        <v>202</v>
      </c>
      <c r="E13" s="14" t="s">
        <v>212</v>
      </c>
      <c r="F13" s="15" t="s">
        <v>224</v>
      </c>
      <c r="G13" s="14" t="s">
        <v>262</v>
      </c>
      <c r="H13" s="13" t="s">
        <v>395</v>
      </c>
      <c r="I13" s="13" t="s">
        <v>397</v>
      </c>
      <c r="J13" s="13" t="s">
        <v>397</v>
      </c>
      <c r="K13" s="13" t="s">
        <v>405</v>
      </c>
      <c r="L13" s="13" t="s">
        <v>409</v>
      </c>
      <c r="M13" s="13">
        <v>4</v>
      </c>
      <c r="N13" s="13" t="s">
        <v>381</v>
      </c>
      <c r="O13" s="13" t="s">
        <v>414</v>
      </c>
      <c r="P13" s="16" t="s">
        <v>412</v>
      </c>
    </row>
    <row r="14" spans="1:20" ht="40.049999999999997" customHeight="1" x14ac:dyDescent="0.3">
      <c r="A14" s="12" t="s">
        <v>11</v>
      </c>
      <c r="B14" s="13" t="s">
        <v>193</v>
      </c>
      <c r="C14" s="13" t="s">
        <v>198</v>
      </c>
      <c r="D14" s="14" t="s">
        <v>203</v>
      </c>
      <c r="E14" s="14" t="s">
        <v>211</v>
      </c>
      <c r="F14" s="15" t="s">
        <v>225</v>
      </c>
      <c r="G14" s="14" t="s">
        <v>268</v>
      </c>
      <c r="H14" s="13" t="s">
        <v>394</v>
      </c>
      <c r="I14" s="13" t="s">
        <v>397</v>
      </c>
      <c r="J14" s="13" t="s">
        <v>397</v>
      </c>
      <c r="K14" s="13" t="s">
        <v>402</v>
      </c>
      <c r="L14" s="13" t="s">
        <v>409</v>
      </c>
      <c r="M14" s="13">
        <v>4</v>
      </c>
      <c r="N14" s="13" t="s">
        <v>412</v>
      </c>
      <c r="O14" s="13" t="s">
        <v>412</v>
      </c>
      <c r="P14" s="16" t="s">
        <v>423</v>
      </c>
    </row>
    <row r="15" spans="1:20" ht="40.049999999999997" customHeight="1" x14ac:dyDescent="0.3">
      <c r="A15" s="12" t="s">
        <v>12</v>
      </c>
      <c r="B15" s="13" t="s">
        <v>192</v>
      </c>
      <c r="C15" s="13" t="s">
        <v>199</v>
      </c>
      <c r="D15" s="14" t="s">
        <v>202</v>
      </c>
      <c r="E15" s="14" t="s">
        <v>213</v>
      </c>
      <c r="F15" s="15" t="s">
        <v>218</v>
      </c>
      <c r="G15" s="14" t="s">
        <v>269</v>
      </c>
      <c r="H15" s="13" t="s">
        <v>397</v>
      </c>
      <c r="I15" s="13" t="s">
        <v>399</v>
      </c>
      <c r="J15" s="13" t="s">
        <v>397</v>
      </c>
      <c r="K15" s="13" t="s">
        <v>402</v>
      </c>
      <c r="L15" s="13" t="s">
        <v>407</v>
      </c>
      <c r="M15" s="13">
        <v>3</v>
      </c>
      <c r="N15" s="13" t="s">
        <v>381</v>
      </c>
      <c r="O15" s="13" t="s">
        <v>414</v>
      </c>
      <c r="P15" s="16" t="s">
        <v>424</v>
      </c>
    </row>
    <row r="16" spans="1:20" ht="40.049999999999997" customHeight="1" x14ac:dyDescent="0.3">
      <c r="A16" s="12" t="s">
        <v>1</v>
      </c>
      <c r="B16" s="13" t="s">
        <v>192</v>
      </c>
      <c r="C16" s="13" t="s">
        <v>199</v>
      </c>
      <c r="D16" s="14" t="s">
        <v>202</v>
      </c>
      <c r="E16" s="14" t="s">
        <v>211</v>
      </c>
      <c r="F16" s="15" t="s">
        <v>226</v>
      </c>
      <c r="G16" s="14" t="s">
        <v>262</v>
      </c>
      <c r="H16" s="13" t="s">
        <v>396</v>
      </c>
      <c r="I16" s="13" t="s">
        <v>397</v>
      </c>
      <c r="J16" s="13" t="s">
        <v>399</v>
      </c>
      <c r="K16" s="13" t="s">
        <v>405</v>
      </c>
      <c r="L16" s="13" t="s">
        <v>407</v>
      </c>
      <c r="M16" s="13">
        <v>3</v>
      </c>
      <c r="N16" s="13" t="s">
        <v>381</v>
      </c>
      <c r="O16" s="13" t="s">
        <v>381</v>
      </c>
      <c r="P16" s="16" t="s">
        <v>425</v>
      </c>
    </row>
    <row r="17" spans="1:19" ht="40.049999999999997" customHeight="1" x14ac:dyDescent="0.3">
      <c r="A17" s="12" t="s">
        <v>13</v>
      </c>
      <c r="B17" s="13" t="s">
        <v>192</v>
      </c>
      <c r="C17" s="13" t="s">
        <v>199</v>
      </c>
      <c r="D17" s="14" t="s">
        <v>202</v>
      </c>
      <c r="E17" s="14" t="s">
        <v>212</v>
      </c>
      <c r="F17" s="15" t="s">
        <v>218</v>
      </c>
      <c r="G17" s="14" t="s">
        <v>270</v>
      </c>
      <c r="H17" s="13" t="s">
        <v>397</v>
      </c>
      <c r="I17" s="13" t="s">
        <v>395</v>
      </c>
      <c r="J17" s="13" t="s">
        <v>395</v>
      </c>
      <c r="K17" s="13" t="s">
        <v>403</v>
      </c>
      <c r="L17" s="13" t="s">
        <v>407</v>
      </c>
      <c r="M17" s="13">
        <v>3</v>
      </c>
      <c r="N17" s="13" t="s">
        <v>412</v>
      </c>
      <c r="O17" s="13" t="s">
        <v>381</v>
      </c>
      <c r="P17" s="16" t="s">
        <v>426</v>
      </c>
    </row>
    <row r="18" spans="1:19" ht="40.049999999999997" customHeight="1" x14ac:dyDescent="0.3">
      <c r="A18" s="12" t="s">
        <v>14</v>
      </c>
      <c r="B18" s="13" t="s">
        <v>190</v>
      </c>
      <c r="C18" s="13" t="s">
        <v>199</v>
      </c>
      <c r="D18" s="14" t="s">
        <v>202</v>
      </c>
      <c r="E18" s="14" t="s">
        <v>211</v>
      </c>
      <c r="F18" s="15" t="s">
        <v>227</v>
      </c>
      <c r="G18" s="14" t="s">
        <v>271</v>
      </c>
      <c r="H18" s="13" t="s">
        <v>395</v>
      </c>
      <c r="I18" s="13" t="s">
        <v>395</v>
      </c>
      <c r="J18" s="13" t="s">
        <v>397</v>
      </c>
      <c r="K18" s="13" t="s">
        <v>405</v>
      </c>
      <c r="L18" s="13" t="s">
        <v>409</v>
      </c>
      <c r="M18" s="13">
        <v>3</v>
      </c>
      <c r="N18" s="13" t="s">
        <v>381</v>
      </c>
      <c r="O18" s="13" t="s">
        <v>414</v>
      </c>
      <c r="P18" s="16" t="s">
        <v>427</v>
      </c>
    </row>
    <row r="19" spans="1:19" ht="40.049999999999997" customHeight="1" x14ac:dyDescent="0.3">
      <c r="A19" s="12" t="s">
        <v>15</v>
      </c>
      <c r="B19" s="13" t="s">
        <v>192</v>
      </c>
      <c r="C19" s="13" t="s">
        <v>199</v>
      </c>
      <c r="D19" s="14" t="s">
        <v>202</v>
      </c>
      <c r="E19" s="14" t="s">
        <v>211</v>
      </c>
      <c r="F19" s="15" t="s">
        <v>218</v>
      </c>
      <c r="G19" s="14" t="s">
        <v>272</v>
      </c>
      <c r="H19" s="13" t="s">
        <v>397</v>
      </c>
      <c r="I19" s="13" t="s">
        <v>399</v>
      </c>
      <c r="J19" s="13" t="s">
        <v>394</v>
      </c>
      <c r="K19" s="13" t="s">
        <v>402</v>
      </c>
      <c r="L19" s="13" t="s">
        <v>407</v>
      </c>
      <c r="M19" s="13">
        <v>5</v>
      </c>
      <c r="N19" s="13" t="s">
        <v>412</v>
      </c>
      <c r="O19" s="13" t="s">
        <v>381</v>
      </c>
      <c r="P19" s="16" t="s">
        <v>428</v>
      </c>
    </row>
    <row r="20" spans="1:19" ht="40.049999999999997" customHeight="1" x14ac:dyDescent="0.3">
      <c r="A20" s="12" t="s">
        <v>16</v>
      </c>
      <c r="B20" s="13" t="s">
        <v>192</v>
      </c>
      <c r="C20" s="13" t="s">
        <v>199</v>
      </c>
      <c r="D20" s="14" t="s">
        <v>202</v>
      </c>
      <c r="E20" s="14" t="s">
        <v>211</v>
      </c>
      <c r="F20" s="15" t="s">
        <v>223</v>
      </c>
      <c r="G20" s="14"/>
      <c r="H20" s="13" t="s">
        <v>397</v>
      </c>
      <c r="I20" s="13" t="s">
        <v>397</v>
      </c>
      <c r="J20" s="13" t="s">
        <v>394</v>
      </c>
      <c r="K20" s="13"/>
      <c r="L20" s="13" t="s">
        <v>409</v>
      </c>
      <c r="M20" s="13">
        <v>3</v>
      </c>
      <c r="N20" s="13" t="s">
        <v>381</v>
      </c>
      <c r="O20" s="13" t="s">
        <v>381</v>
      </c>
      <c r="P20" s="16"/>
    </row>
    <row r="21" spans="1:19" ht="40.049999999999997" customHeight="1" x14ac:dyDescent="0.3">
      <c r="A21" s="12" t="s">
        <v>17</v>
      </c>
      <c r="B21" s="13" t="s">
        <v>192</v>
      </c>
      <c r="C21" s="13" t="s">
        <v>199</v>
      </c>
      <c r="D21" s="14" t="s">
        <v>202</v>
      </c>
      <c r="E21" s="14" t="s">
        <v>211</v>
      </c>
      <c r="F21" s="15" t="s">
        <v>228</v>
      </c>
      <c r="G21" s="14" t="s">
        <v>273</v>
      </c>
      <c r="H21" s="13" t="s">
        <v>395</v>
      </c>
      <c r="I21" s="13" t="s">
        <v>397</v>
      </c>
      <c r="J21" s="13" t="s">
        <v>399</v>
      </c>
      <c r="K21" s="13" t="s">
        <v>403</v>
      </c>
      <c r="L21" s="13" t="s">
        <v>407</v>
      </c>
      <c r="M21" s="13">
        <v>3</v>
      </c>
      <c r="N21" s="13" t="s">
        <v>381</v>
      </c>
      <c r="O21" s="13" t="s">
        <v>414</v>
      </c>
      <c r="P21" s="16" t="s">
        <v>429</v>
      </c>
      <c r="R21" s="5"/>
      <c r="S21" s="5"/>
    </row>
    <row r="22" spans="1:19" ht="40.049999999999997" customHeight="1" x14ac:dyDescent="0.3">
      <c r="A22" s="12" t="s">
        <v>18</v>
      </c>
      <c r="B22" s="13" t="s">
        <v>190</v>
      </c>
      <c r="C22" s="13" t="s">
        <v>198</v>
      </c>
      <c r="D22" s="14" t="s">
        <v>202</v>
      </c>
      <c r="E22" s="14" t="s">
        <v>212</v>
      </c>
      <c r="F22" s="15" t="s">
        <v>229</v>
      </c>
      <c r="G22" s="14" t="s">
        <v>274</v>
      </c>
      <c r="H22" s="13" t="s">
        <v>397</v>
      </c>
      <c r="I22" s="13" t="s">
        <v>397</v>
      </c>
      <c r="J22" s="13" t="s">
        <v>394</v>
      </c>
      <c r="K22" s="13" t="s">
        <v>402</v>
      </c>
      <c r="L22" s="13" t="s">
        <v>409</v>
      </c>
      <c r="M22" s="13">
        <v>2</v>
      </c>
      <c r="N22" s="13" t="s">
        <v>381</v>
      </c>
      <c r="O22" s="13" t="s">
        <v>414</v>
      </c>
      <c r="P22" s="16"/>
    </row>
    <row r="23" spans="1:19" ht="40.049999999999997" customHeight="1" x14ac:dyDescent="0.3">
      <c r="A23" s="12" t="s">
        <v>19</v>
      </c>
      <c r="B23" s="13" t="s">
        <v>192</v>
      </c>
      <c r="C23" s="13" t="s">
        <v>199</v>
      </c>
      <c r="D23" s="14" t="s">
        <v>202</v>
      </c>
      <c r="E23" s="14" t="s">
        <v>212</v>
      </c>
      <c r="F23" s="15" t="s">
        <v>222</v>
      </c>
      <c r="G23" s="14" t="s">
        <v>275</v>
      </c>
      <c r="H23" s="13" t="s">
        <v>394</v>
      </c>
      <c r="I23" s="13" t="s">
        <v>397</v>
      </c>
      <c r="J23" s="13" t="s">
        <v>397</v>
      </c>
      <c r="K23" s="13" t="s">
        <v>403</v>
      </c>
      <c r="L23" s="13" t="s">
        <v>407</v>
      </c>
      <c r="M23" s="13">
        <v>4</v>
      </c>
      <c r="N23" s="13" t="s">
        <v>412</v>
      </c>
      <c r="O23" s="13" t="s">
        <v>414</v>
      </c>
      <c r="P23" s="16" t="s">
        <v>430</v>
      </c>
      <c r="R23" s="25"/>
    </row>
    <row r="24" spans="1:19" ht="40.049999999999997" customHeight="1" x14ac:dyDescent="0.3">
      <c r="A24" s="12" t="s">
        <v>20</v>
      </c>
      <c r="B24" s="13" t="s">
        <v>194</v>
      </c>
      <c r="C24" s="13" t="s">
        <v>199</v>
      </c>
      <c r="D24" s="14" t="s">
        <v>201</v>
      </c>
      <c r="E24" s="14" t="s">
        <v>211</v>
      </c>
      <c r="F24" s="15" t="s">
        <v>230</v>
      </c>
      <c r="G24" s="14" t="s">
        <v>270</v>
      </c>
      <c r="H24" s="13" t="s">
        <v>397</v>
      </c>
      <c r="I24" s="13" t="s">
        <v>399</v>
      </c>
      <c r="J24" s="13" t="s">
        <v>399</v>
      </c>
      <c r="K24" s="13" t="s">
        <v>402</v>
      </c>
      <c r="L24" s="13" t="s">
        <v>407</v>
      </c>
      <c r="M24" s="13">
        <v>5</v>
      </c>
      <c r="N24" s="13" t="s">
        <v>412</v>
      </c>
      <c r="O24" s="13" t="s">
        <v>381</v>
      </c>
      <c r="P24" s="16" t="s">
        <v>431</v>
      </c>
    </row>
    <row r="25" spans="1:19" ht="40.049999999999997" customHeight="1" x14ac:dyDescent="0.3">
      <c r="A25" s="12" t="s">
        <v>21</v>
      </c>
      <c r="B25" s="13" t="s">
        <v>192</v>
      </c>
      <c r="C25" s="13" t="s">
        <v>199</v>
      </c>
      <c r="D25" s="14" t="s">
        <v>202</v>
      </c>
      <c r="E25" s="14" t="s">
        <v>213</v>
      </c>
      <c r="F25" s="15" t="s">
        <v>218</v>
      </c>
      <c r="G25" s="14" t="s">
        <v>276</v>
      </c>
      <c r="H25" s="13" t="s">
        <v>394</v>
      </c>
      <c r="I25" s="13" t="s">
        <v>397</v>
      </c>
      <c r="J25" s="13" t="s">
        <v>399</v>
      </c>
      <c r="K25" s="13" t="s">
        <v>402</v>
      </c>
      <c r="L25" s="13" t="s">
        <v>409</v>
      </c>
      <c r="M25" s="13">
        <v>5</v>
      </c>
      <c r="N25" s="13" t="s">
        <v>381</v>
      </c>
      <c r="O25" s="13" t="s">
        <v>381</v>
      </c>
      <c r="P25" s="16" t="s">
        <v>432</v>
      </c>
    </row>
    <row r="26" spans="1:19" ht="40.049999999999997" customHeight="1" x14ac:dyDescent="0.3">
      <c r="A26" s="12" t="s">
        <v>22</v>
      </c>
      <c r="B26" s="13" t="s">
        <v>192</v>
      </c>
      <c r="C26" s="13" t="s">
        <v>199</v>
      </c>
      <c r="D26" s="14" t="s">
        <v>202</v>
      </c>
      <c r="E26" s="14" t="s">
        <v>211</v>
      </c>
      <c r="F26" s="15" t="s">
        <v>218</v>
      </c>
      <c r="G26" s="14" t="s">
        <v>277</v>
      </c>
      <c r="H26" s="13" t="s">
        <v>396</v>
      </c>
      <c r="I26" s="13" t="s">
        <v>395</v>
      </c>
      <c r="J26" s="13" t="s">
        <v>397</v>
      </c>
      <c r="K26" s="13" t="s">
        <v>405</v>
      </c>
      <c r="L26" s="13" t="s">
        <v>409</v>
      </c>
      <c r="M26" s="13">
        <v>2</v>
      </c>
      <c r="N26" s="13" t="s">
        <v>381</v>
      </c>
      <c r="O26" s="13" t="s">
        <v>414</v>
      </c>
      <c r="P26" s="16" t="s">
        <v>433</v>
      </c>
    </row>
    <row r="27" spans="1:19" ht="40.049999999999997" customHeight="1" x14ac:dyDescent="0.3">
      <c r="A27" s="12" t="s">
        <v>23</v>
      </c>
      <c r="B27" s="13" t="s">
        <v>190</v>
      </c>
      <c r="C27" s="13" t="s">
        <v>199</v>
      </c>
      <c r="D27" s="14" t="s">
        <v>202</v>
      </c>
      <c r="E27" s="14" t="s">
        <v>212</v>
      </c>
      <c r="F27" s="15" t="s">
        <v>218</v>
      </c>
      <c r="G27" s="14" t="s">
        <v>278</v>
      </c>
      <c r="H27" s="13" t="s">
        <v>395</v>
      </c>
      <c r="I27" s="13" t="s">
        <v>397</v>
      </c>
      <c r="J27" s="13" t="s">
        <v>394</v>
      </c>
      <c r="K27" s="13" t="s">
        <v>403</v>
      </c>
      <c r="L27" s="13" t="s">
        <v>407</v>
      </c>
      <c r="M27" s="13">
        <v>3</v>
      </c>
      <c r="N27" s="13" t="s">
        <v>412</v>
      </c>
      <c r="O27" s="13" t="s">
        <v>414</v>
      </c>
      <c r="P27" s="16" t="s">
        <v>434</v>
      </c>
    </row>
    <row r="28" spans="1:19" ht="40.049999999999997" customHeight="1" x14ac:dyDescent="0.3">
      <c r="A28" s="12" t="s">
        <v>24</v>
      </c>
      <c r="B28" s="13" t="s">
        <v>192</v>
      </c>
      <c r="C28" s="13" t="s">
        <v>199</v>
      </c>
      <c r="D28" s="14" t="s">
        <v>202</v>
      </c>
      <c r="E28" s="14" t="s">
        <v>212</v>
      </c>
      <c r="F28" s="15" t="s">
        <v>218</v>
      </c>
      <c r="G28" s="14" t="s">
        <v>279</v>
      </c>
      <c r="H28" s="13" t="s">
        <v>395</v>
      </c>
      <c r="I28" s="13" t="s">
        <v>395</v>
      </c>
      <c r="J28" s="13" t="s">
        <v>395</v>
      </c>
      <c r="K28" s="13" t="s">
        <v>403</v>
      </c>
      <c r="L28" s="13" t="s">
        <v>407</v>
      </c>
      <c r="M28" s="13">
        <v>4</v>
      </c>
      <c r="N28" s="13" t="s">
        <v>412</v>
      </c>
      <c r="O28" s="13" t="s">
        <v>414</v>
      </c>
      <c r="P28" s="16" t="s">
        <v>435</v>
      </c>
    </row>
    <row r="29" spans="1:19" ht="40.049999999999997" customHeight="1" x14ac:dyDescent="0.3">
      <c r="A29" s="12" t="s">
        <v>25</v>
      </c>
      <c r="B29" s="13" t="s">
        <v>193</v>
      </c>
      <c r="C29" s="13" t="s">
        <v>198</v>
      </c>
      <c r="D29" s="14" t="s">
        <v>203</v>
      </c>
      <c r="E29" s="14" t="s">
        <v>214</v>
      </c>
      <c r="F29" s="15" t="s">
        <v>231</v>
      </c>
      <c r="G29" s="14" t="s">
        <v>280</v>
      </c>
      <c r="H29" s="13" t="s">
        <v>394</v>
      </c>
      <c r="I29" s="13" t="s">
        <v>397</v>
      </c>
      <c r="J29" s="13" t="s">
        <v>395</v>
      </c>
      <c r="K29" s="13" t="s">
        <v>403</v>
      </c>
      <c r="L29" s="13" t="s">
        <v>409</v>
      </c>
      <c r="M29" s="13">
        <v>5</v>
      </c>
      <c r="N29" s="13" t="s">
        <v>381</v>
      </c>
      <c r="O29" s="13" t="s">
        <v>414</v>
      </c>
      <c r="P29" s="16" t="s">
        <v>436</v>
      </c>
    </row>
    <row r="30" spans="1:19" ht="40.049999999999997" customHeight="1" x14ac:dyDescent="0.3">
      <c r="A30" s="12" t="s">
        <v>26</v>
      </c>
      <c r="B30" s="13" t="s">
        <v>192</v>
      </c>
      <c r="C30" s="13" t="s">
        <v>199</v>
      </c>
      <c r="D30" s="14" t="s">
        <v>202</v>
      </c>
      <c r="E30" s="14" t="s">
        <v>213</v>
      </c>
      <c r="F30" s="15" t="s">
        <v>232</v>
      </c>
      <c r="G30" s="14" t="s">
        <v>262</v>
      </c>
      <c r="H30" s="13" t="s">
        <v>396</v>
      </c>
      <c r="I30" s="13" t="s">
        <v>397</v>
      </c>
      <c r="J30" s="13" t="s">
        <v>394</v>
      </c>
      <c r="K30" s="13" t="s">
        <v>402</v>
      </c>
      <c r="L30" s="13" t="s">
        <v>407</v>
      </c>
      <c r="M30" s="13">
        <v>5</v>
      </c>
      <c r="N30" s="13" t="s">
        <v>381</v>
      </c>
      <c r="O30" s="13" t="s">
        <v>414</v>
      </c>
      <c r="P30" s="16" t="s">
        <v>426</v>
      </c>
    </row>
    <row r="31" spans="1:19" ht="40.049999999999997" customHeight="1" x14ac:dyDescent="0.3">
      <c r="A31" s="12" t="s">
        <v>27</v>
      </c>
      <c r="B31" s="13" t="s">
        <v>192</v>
      </c>
      <c r="C31" s="13" t="s">
        <v>199</v>
      </c>
      <c r="D31" s="14" t="s">
        <v>202</v>
      </c>
      <c r="E31" s="14" t="s">
        <v>213</v>
      </c>
      <c r="F31" s="15" t="s">
        <v>233</v>
      </c>
      <c r="G31" s="14" t="s">
        <v>281</v>
      </c>
      <c r="H31" s="13" t="s">
        <v>397</v>
      </c>
      <c r="I31" s="13" t="s">
        <v>397</v>
      </c>
      <c r="J31" s="13" t="s">
        <v>397</v>
      </c>
      <c r="K31" s="13" t="s">
        <v>404</v>
      </c>
      <c r="L31" s="13" t="s">
        <v>408</v>
      </c>
      <c r="M31" s="13">
        <v>3</v>
      </c>
      <c r="N31" s="13" t="s">
        <v>381</v>
      </c>
      <c r="O31" s="13" t="s">
        <v>414</v>
      </c>
      <c r="P31" s="16" t="s">
        <v>437</v>
      </c>
    </row>
    <row r="32" spans="1:19" ht="40.049999999999997" customHeight="1" x14ac:dyDescent="0.3">
      <c r="A32" s="12" t="s">
        <v>28</v>
      </c>
      <c r="B32" s="13" t="s">
        <v>193</v>
      </c>
      <c r="C32" s="13" t="s">
        <v>198</v>
      </c>
      <c r="D32" s="14" t="s">
        <v>203</v>
      </c>
      <c r="E32" s="14" t="s">
        <v>211</v>
      </c>
      <c r="F32" s="15" t="s">
        <v>225</v>
      </c>
      <c r="G32" s="14" t="s">
        <v>282</v>
      </c>
      <c r="H32" s="13" t="s">
        <v>394</v>
      </c>
      <c r="I32" s="13" t="s">
        <v>397</v>
      </c>
      <c r="J32" s="13" t="s">
        <v>397</v>
      </c>
      <c r="K32" s="13" t="s">
        <v>402</v>
      </c>
      <c r="L32" s="13" t="s">
        <v>409</v>
      </c>
      <c r="M32" s="13">
        <v>3</v>
      </c>
      <c r="N32" s="13" t="s">
        <v>412</v>
      </c>
      <c r="O32" s="13" t="s">
        <v>414</v>
      </c>
      <c r="P32" s="16" t="s">
        <v>438</v>
      </c>
    </row>
    <row r="33" spans="1:16" ht="40.049999999999997" customHeight="1" x14ac:dyDescent="0.3">
      <c r="A33" s="12" t="s">
        <v>29</v>
      </c>
      <c r="B33" s="13" t="s">
        <v>192</v>
      </c>
      <c r="C33" s="13" t="s">
        <v>199</v>
      </c>
      <c r="D33" s="14" t="s">
        <v>202</v>
      </c>
      <c r="E33" s="14" t="s">
        <v>213</v>
      </c>
      <c r="F33" s="15" t="s">
        <v>232</v>
      </c>
      <c r="G33" s="14" t="s">
        <v>283</v>
      </c>
      <c r="H33" s="13" t="s">
        <v>395</v>
      </c>
      <c r="I33" s="13" t="s">
        <v>395</v>
      </c>
      <c r="J33" s="13" t="s">
        <v>395</v>
      </c>
      <c r="K33" s="13" t="s">
        <v>405</v>
      </c>
      <c r="L33" s="13" t="s">
        <v>407</v>
      </c>
      <c r="M33" s="13">
        <v>3</v>
      </c>
      <c r="N33" s="13" t="s">
        <v>412</v>
      </c>
      <c r="O33" s="13" t="s">
        <v>414</v>
      </c>
      <c r="P33" s="16" t="s">
        <v>439</v>
      </c>
    </row>
    <row r="34" spans="1:16" ht="40.049999999999997" customHeight="1" x14ac:dyDescent="0.3">
      <c r="A34" s="12" t="s">
        <v>30</v>
      </c>
      <c r="B34" s="13" t="s">
        <v>192</v>
      </c>
      <c r="C34" s="13" t="s">
        <v>198</v>
      </c>
      <c r="D34" s="14" t="s">
        <v>202</v>
      </c>
      <c r="E34" s="14" t="s">
        <v>212</v>
      </c>
      <c r="F34" s="15" t="s">
        <v>226</v>
      </c>
      <c r="G34" s="14" t="s">
        <v>284</v>
      </c>
      <c r="H34" s="13" t="s">
        <v>397</v>
      </c>
      <c r="I34" s="13" t="s">
        <v>395</v>
      </c>
      <c r="J34" s="13" t="s">
        <v>397</v>
      </c>
      <c r="K34" s="13" t="s">
        <v>403</v>
      </c>
      <c r="L34" s="13" t="s">
        <v>408</v>
      </c>
      <c r="M34" s="13">
        <v>4</v>
      </c>
      <c r="N34" s="13" t="s">
        <v>381</v>
      </c>
      <c r="O34" s="13" t="s">
        <v>381</v>
      </c>
      <c r="P34" s="16" t="s">
        <v>426</v>
      </c>
    </row>
    <row r="35" spans="1:16" ht="40.049999999999997" customHeight="1" x14ac:dyDescent="0.3">
      <c r="A35" s="12" t="s">
        <v>31</v>
      </c>
      <c r="B35" s="13" t="s">
        <v>192</v>
      </c>
      <c r="C35" s="13" t="s">
        <v>199</v>
      </c>
      <c r="D35" s="14" t="s">
        <v>202</v>
      </c>
      <c r="E35" s="14" t="s">
        <v>214</v>
      </c>
      <c r="F35" s="15" t="s">
        <v>234</v>
      </c>
      <c r="G35" s="14" t="s">
        <v>285</v>
      </c>
      <c r="H35" s="13" t="s">
        <v>395</v>
      </c>
      <c r="I35" s="13" t="s">
        <v>397</v>
      </c>
      <c r="J35" s="13" t="s">
        <v>395</v>
      </c>
      <c r="K35" s="13" t="s">
        <v>402</v>
      </c>
      <c r="L35" s="13" t="s">
        <v>407</v>
      </c>
      <c r="M35" s="13">
        <v>5</v>
      </c>
      <c r="N35" s="13" t="s">
        <v>381</v>
      </c>
      <c r="O35" s="13" t="s">
        <v>414</v>
      </c>
      <c r="P35" s="16" t="s">
        <v>440</v>
      </c>
    </row>
    <row r="36" spans="1:16" ht="40.049999999999997" customHeight="1" x14ac:dyDescent="0.3">
      <c r="A36" s="12" t="s">
        <v>32</v>
      </c>
      <c r="B36" s="13" t="s">
        <v>190</v>
      </c>
      <c r="C36" s="13" t="s">
        <v>198</v>
      </c>
      <c r="D36" s="14" t="s">
        <v>202</v>
      </c>
      <c r="E36" s="14" t="s">
        <v>211</v>
      </c>
      <c r="F36" s="15" t="s">
        <v>235</v>
      </c>
      <c r="G36" s="14"/>
      <c r="H36" s="13" t="s">
        <v>394</v>
      </c>
      <c r="I36" s="13" t="s">
        <v>399</v>
      </c>
      <c r="J36" s="13" t="s">
        <v>399</v>
      </c>
      <c r="K36" s="13" t="s">
        <v>403</v>
      </c>
      <c r="L36" s="13" t="s">
        <v>407</v>
      </c>
      <c r="M36" s="13">
        <v>4</v>
      </c>
      <c r="N36" s="13" t="s">
        <v>381</v>
      </c>
      <c r="O36" s="13" t="s">
        <v>414</v>
      </c>
      <c r="P36" s="16"/>
    </row>
    <row r="37" spans="1:16" ht="40.049999999999997" customHeight="1" x14ac:dyDescent="0.3">
      <c r="A37" s="12" t="s">
        <v>33</v>
      </c>
      <c r="B37" s="13" t="s">
        <v>192</v>
      </c>
      <c r="C37" s="13" t="s">
        <v>199</v>
      </c>
      <c r="D37" s="14" t="s">
        <v>202</v>
      </c>
      <c r="E37" s="14" t="s">
        <v>212</v>
      </c>
      <c r="F37" s="15" t="s">
        <v>226</v>
      </c>
      <c r="G37" s="14" t="s">
        <v>286</v>
      </c>
      <c r="H37" s="13" t="s">
        <v>396</v>
      </c>
      <c r="I37" s="13" t="s">
        <v>397</v>
      </c>
      <c r="J37" s="13" t="s">
        <v>397</v>
      </c>
      <c r="K37" s="13" t="s">
        <v>402</v>
      </c>
      <c r="L37" s="13" t="s">
        <v>407</v>
      </c>
      <c r="M37" s="13">
        <v>3</v>
      </c>
      <c r="N37" s="13" t="s">
        <v>381</v>
      </c>
      <c r="O37" s="13" t="s">
        <v>414</v>
      </c>
      <c r="P37" s="16" t="s">
        <v>441</v>
      </c>
    </row>
    <row r="38" spans="1:16" ht="40.049999999999997" customHeight="1" x14ac:dyDescent="0.3">
      <c r="A38" s="12" t="s">
        <v>34</v>
      </c>
      <c r="B38" s="13" t="s">
        <v>192</v>
      </c>
      <c r="C38" s="13" t="s">
        <v>198</v>
      </c>
      <c r="D38" s="14" t="s">
        <v>202</v>
      </c>
      <c r="E38" s="14" t="s">
        <v>212</v>
      </c>
      <c r="F38" s="15" t="s">
        <v>218</v>
      </c>
      <c r="G38" s="14" t="s">
        <v>287</v>
      </c>
      <c r="H38" s="13" t="s">
        <v>397</v>
      </c>
      <c r="I38" s="13" t="s">
        <v>399</v>
      </c>
      <c r="J38" s="13" t="s">
        <v>395</v>
      </c>
      <c r="K38" s="13" t="s">
        <v>404</v>
      </c>
      <c r="L38" s="13" t="s">
        <v>407</v>
      </c>
      <c r="M38" s="13">
        <v>3</v>
      </c>
      <c r="N38" s="13" t="s">
        <v>412</v>
      </c>
      <c r="O38" s="13" t="s">
        <v>412</v>
      </c>
      <c r="P38" s="16"/>
    </row>
    <row r="39" spans="1:16" ht="40.049999999999997" customHeight="1" x14ac:dyDescent="0.3">
      <c r="A39" s="12" t="s">
        <v>35</v>
      </c>
      <c r="B39" s="13" t="s">
        <v>192</v>
      </c>
      <c r="C39" s="13" t="s">
        <v>199</v>
      </c>
      <c r="D39" s="14" t="s">
        <v>202</v>
      </c>
      <c r="E39" s="14" t="s">
        <v>214</v>
      </c>
      <c r="F39" s="15" t="s">
        <v>218</v>
      </c>
      <c r="G39" s="14"/>
      <c r="H39" s="13" t="s">
        <v>397</v>
      </c>
      <c r="I39" s="13" t="s">
        <v>397</v>
      </c>
      <c r="J39" s="13" t="s">
        <v>397</v>
      </c>
      <c r="K39" s="13" t="s">
        <v>402</v>
      </c>
      <c r="L39" s="13" t="s">
        <v>407</v>
      </c>
      <c r="M39" s="13">
        <v>5</v>
      </c>
      <c r="N39" s="13" t="s">
        <v>381</v>
      </c>
      <c r="O39" s="13" t="s">
        <v>414</v>
      </c>
      <c r="P39" s="16"/>
    </row>
    <row r="40" spans="1:16" ht="40.049999999999997" customHeight="1" x14ac:dyDescent="0.3">
      <c r="A40" s="12" t="s">
        <v>36</v>
      </c>
      <c r="B40" s="13" t="s">
        <v>192</v>
      </c>
      <c r="C40" s="13" t="s">
        <v>199</v>
      </c>
      <c r="D40" s="14" t="s">
        <v>202</v>
      </c>
      <c r="E40" s="14" t="s">
        <v>212</v>
      </c>
      <c r="F40" s="15" t="s">
        <v>236</v>
      </c>
      <c r="G40" s="14" t="s">
        <v>288</v>
      </c>
      <c r="H40" s="13" t="s">
        <v>395</v>
      </c>
      <c r="I40" s="13" t="s">
        <v>395</v>
      </c>
      <c r="J40" s="13" t="s">
        <v>395</v>
      </c>
      <c r="K40" s="13" t="s">
        <v>403</v>
      </c>
      <c r="L40" s="13" t="s">
        <v>409</v>
      </c>
      <c r="M40" s="13">
        <v>1</v>
      </c>
      <c r="N40" s="13" t="s">
        <v>412</v>
      </c>
      <c r="O40" s="13" t="s">
        <v>414</v>
      </c>
      <c r="P40" s="16" t="s">
        <v>442</v>
      </c>
    </row>
    <row r="41" spans="1:16" ht="40.049999999999997" customHeight="1" x14ac:dyDescent="0.3">
      <c r="A41" s="12" t="s">
        <v>37</v>
      </c>
      <c r="B41" s="13" t="s">
        <v>192</v>
      </c>
      <c r="C41" s="13" t="s">
        <v>199</v>
      </c>
      <c r="D41" s="14" t="s">
        <v>202</v>
      </c>
      <c r="E41" s="14" t="s">
        <v>212</v>
      </c>
      <c r="F41" s="15" t="s">
        <v>218</v>
      </c>
      <c r="G41" s="14" t="s">
        <v>289</v>
      </c>
      <c r="H41" s="13" t="s">
        <v>397</v>
      </c>
      <c r="I41" s="13" t="s">
        <v>397</v>
      </c>
      <c r="J41" s="13" t="s">
        <v>399</v>
      </c>
      <c r="K41" s="13" t="s">
        <v>403</v>
      </c>
      <c r="L41" s="13" t="s">
        <v>408</v>
      </c>
      <c r="M41" s="13">
        <v>4</v>
      </c>
      <c r="N41" s="13" t="s">
        <v>381</v>
      </c>
      <c r="O41" s="13" t="s">
        <v>381</v>
      </c>
      <c r="P41" s="16" t="s">
        <v>443</v>
      </c>
    </row>
    <row r="42" spans="1:16" ht="40.049999999999997" customHeight="1" x14ac:dyDescent="0.3">
      <c r="A42" s="12" t="s">
        <v>38</v>
      </c>
      <c r="B42" s="13" t="s">
        <v>192</v>
      </c>
      <c r="C42" s="13" t="s">
        <v>199</v>
      </c>
      <c r="D42" s="14" t="s">
        <v>202</v>
      </c>
      <c r="E42" s="14" t="s">
        <v>213</v>
      </c>
      <c r="F42" s="15" t="s">
        <v>234</v>
      </c>
      <c r="G42" s="14" t="s">
        <v>290</v>
      </c>
      <c r="H42" s="13" t="s">
        <v>397</v>
      </c>
      <c r="I42" s="13" t="s">
        <v>397</v>
      </c>
      <c r="J42" s="13" t="s">
        <v>394</v>
      </c>
      <c r="K42" s="13" t="s">
        <v>403</v>
      </c>
      <c r="L42" s="13" t="s">
        <v>408</v>
      </c>
      <c r="M42" s="13">
        <v>3</v>
      </c>
      <c r="N42" s="13" t="s">
        <v>381</v>
      </c>
      <c r="O42" s="13" t="s">
        <v>381</v>
      </c>
      <c r="P42" s="16" t="s">
        <v>426</v>
      </c>
    </row>
    <row r="43" spans="1:16" ht="40.049999999999997" customHeight="1" x14ac:dyDescent="0.3">
      <c r="A43" s="12" t="s">
        <v>39</v>
      </c>
      <c r="B43" s="13" t="s">
        <v>192</v>
      </c>
      <c r="C43" s="13" t="s">
        <v>198</v>
      </c>
      <c r="D43" s="14" t="s">
        <v>202</v>
      </c>
      <c r="E43" s="14" t="s">
        <v>212</v>
      </c>
      <c r="F43" s="15" t="s">
        <v>237</v>
      </c>
      <c r="G43" s="14" t="s">
        <v>291</v>
      </c>
      <c r="H43" s="13" t="s">
        <v>394</v>
      </c>
      <c r="I43" s="13" t="s">
        <v>397</v>
      </c>
      <c r="J43" s="13" t="s">
        <v>395</v>
      </c>
      <c r="K43" s="13" t="s">
        <v>403</v>
      </c>
      <c r="L43" s="13" t="s">
        <v>407</v>
      </c>
      <c r="M43" s="13">
        <v>3</v>
      </c>
      <c r="N43" s="13" t="s">
        <v>381</v>
      </c>
      <c r="O43" s="13" t="s">
        <v>381</v>
      </c>
      <c r="P43" s="16" t="s">
        <v>444</v>
      </c>
    </row>
    <row r="44" spans="1:16" ht="40.049999999999997" customHeight="1" x14ac:dyDescent="0.3">
      <c r="A44" s="12" t="s">
        <v>40</v>
      </c>
      <c r="B44" s="13" t="s">
        <v>192</v>
      </c>
      <c r="C44" s="13" t="s">
        <v>199</v>
      </c>
      <c r="D44" s="14" t="s">
        <v>202</v>
      </c>
      <c r="E44" s="14" t="s">
        <v>212</v>
      </c>
      <c r="F44" s="15" t="s">
        <v>218</v>
      </c>
      <c r="G44" s="14" t="s">
        <v>262</v>
      </c>
      <c r="H44" s="13" t="s">
        <v>396</v>
      </c>
      <c r="I44" s="13" t="s">
        <v>397</v>
      </c>
      <c r="J44" s="13" t="s">
        <v>399</v>
      </c>
      <c r="K44" s="13" t="s">
        <v>403</v>
      </c>
      <c r="L44" s="13" t="s">
        <v>407</v>
      </c>
      <c r="M44" s="13">
        <v>5</v>
      </c>
      <c r="N44" s="13" t="s">
        <v>412</v>
      </c>
      <c r="O44" s="13" t="s">
        <v>381</v>
      </c>
      <c r="P44" s="16" t="s">
        <v>445</v>
      </c>
    </row>
    <row r="45" spans="1:16" ht="40.049999999999997" customHeight="1" x14ac:dyDescent="0.3">
      <c r="A45" s="12" t="s">
        <v>41</v>
      </c>
      <c r="B45" s="13" t="s">
        <v>192</v>
      </c>
      <c r="C45" s="13" t="s">
        <v>198</v>
      </c>
      <c r="D45" s="14" t="s">
        <v>202</v>
      </c>
      <c r="E45" s="14" t="s">
        <v>213</v>
      </c>
      <c r="F45" s="15" t="s">
        <v>222</v>
      </c>
      <c r="G45" s="14"/>
      <c r="H45" s="13" t="s">
        <v>395</v>
      </c>
      <c r="I45" s="13" t="s">
        <v>397</v>
      </c>
      <c r="J45" s="13" t="s">
        <v>399</v>
      </c>
      <c r="K45" s="13" t="s">
        <v>402</v>
      </c>
      <c r="L45" s="13" t="s">
        <v>408</v>
      </c>
      <c r="M45" s="13">
        <v>4</v>
      </c>
      <c r="N45" s="13" t="s">
        <v>381</v>
      </c>
      <c r="O45" s="13" t="s">
        <v>414</v>
      </c>
      <c r="P45" s="16" t="s">
        <v>446</v>
      </c>
    </row>
    <row r="46" spans="1:16" ht="40.049999999999997" customHeight="1" x14ac:dyDescent="0.3">
      <c r="A46" s="12" t="s">
        <v>42</v>
      </c>
      <c r="B46" s="13" t="s">
        <v>192</v>
      </c>
      <c r="C46" s="13" t="s">
        <v>199</v>
      </c>
      <c r="D46" s="14" t="s">
        <v>202</v>
      </c>
      <c r="E46" s="14" t="s">
        <v>211</v>
      </c>
      <c r="F46" s="15" t="s">
        <v>234</v>
      </c>
      <c r="G46" s="14" t="s">
        <v>292</v>
      </c>
      <c r="H46" s="13" t="s">
        <v>394</v>
      </c>
      <c r="I46" s="13" t="s">
        <v>397</v>
      </c>
      <c r="J46" s="13" t="s">
        <v>397</v>
      </c>
      <c r="K46" s="13" t="s">
        <v>402</v>
      </c>
      <c r="L46" s="13" t="s">
        <v>407</v>
      </c>
      <c r="M46" s="13">
        <v>4</v>
      </c>
      <c r="N46" s="13" t="s">
        <v>412</v>
      </c>
      <c r="O46" s="13" t="s">
        <v>414</v>
      </c>
      <c r="P46" s="16" t="s">
        <v>447</v>
      </c>
    </row>
    <row r="47" spans="1:16" ht="40.049999999999997" customHeight="1" x14ac:dyDescent="0.3">
      <c r="A47" s="12" t="s">
        <v>43</v>
      </c>
      <c r="B47" s="13" t="s">
        <v>192</v>
      </c>
      <c r="C47" s="13" t="s">
        <v>198</v>
      </c>
      <c r="D47" s="14" t="s">
        <v>202</v>
      </c>
      <c r="E47" s="14" t="s">
        <v>211</v>
      </c>
      <c r="F47" s="15" t="s">
        <v>225</v>
      </c>
      <c r="G47" s="14" t="s">
        <v>293</v>
      </c>
      <c r="H47" s="13" t="s">
        <v>394</v>
      </c>
      <c r="I47" s="13" t="s">
        <v>395</v>
      </c>
      <c r="J47" s="13" t="s">
        <v>395</v>
      </c>
      <c r="K47" s="13" t="s">
        <v>402</v>
      </c>
      <c r="L47" s="13" t="s">
        <v>407</v>
      </c>
      <c r="M47" s="13">
        <v>5</v>
      </c>
      <c r="N47" s="13" t="s">
        <v>412</v>
      </c>
      <c r="O47" s="13" t="s">
        <v>414</v>
      </c>
      <c r="P47" s="16" t="s">
        <v>448</v>
      </c>
    </row>
    <row r="48" spans="1:16" ht="40.049999999999997" customHeight="1" x14ac:dyDescent="0.3">
      <c r="A48" s="12" t="s">
        <v>44</v>
      </c>
      <c r="B48" s="13" t="s">
        <v>192</v>
      </c>
      <c r="C48" s="13" t="s">
        <v>199</v>
      </c>
      <c r="D48" s="14" t="s">
        <v>202</v>
      </c>
      <c r="E48" s="14" t="s">
        <v>213</v>
      </c>
      <c r="F48" s="15" t="s">
        <v>226</v>
      </c>
      <c r="G48" s="14"/>
      <c r="H48" s="13" t="s">
        <v>397</v>
      </c>
      <c r="I48" s="13" t="s">
        <v>395</v>
      </c>
      <c r="J48" s="13" t="s">
        <v>395</v>
      </c>
      <c r="K48" s="13" t="s">
        <v>403</v>
      </c>
      <c r="L48" s="13" t="s">
        <v>407</v>
      </c>
      <c r="M48" s="13">
        <v>5</v>
      </c>
      <c r="N48" s="13" t="s">
        <v>381</v>
      </c>
      <c r="O48" s="13" t="s">
        <v>381</v>
      </c>
      <c r="P48" s="16"/>
    </row>
    <row r="49" spans="1:16" ht="40.049999999999997" customHeight="1" x14ac:dyDescent="0.3">
      <c r="A49" s="12" t="s">
        <v>45</v>
      </c>
      <c r="B49" s="13" t="s">
        <v>192</v>
      </c>
      <c r="C49" s="13" t="s">
        <v>198</v>
      </c>
      <c r="D49" s="14" t="s">
        <v>202</v>
      </c>
      <c r="E49" s="14" t="s">
        <v>211</v>
      </c>
      <c r="F49" s="15" t="s">
        <v>221</v>
      </c>
      <c r="G49" s="14" t="s">
        <v>294</v>
      </c>
      <c r="H49" s="13" t="s">
        <v>394</v>
      </c>
      <c r="I49" s="13" t="s">
        <v>399</v>
      </c>
      <c r="J49" s="13" t="s">
        <v>397</v>
      </c>
      <c r="K49" s="13" t="s">
        <v>402</v>
      </c>
      <c r="L49" s="13" t="s">
        <v>407</v>
      </c>
      <c r="M49" s="13">
        <v>4</v>
      </c>
      <c r="N49" s="13" t="s">
        <v>412</v>
      </c>
      <c r="O49" s="13" t="s">
        <v>381</v>
      </c>
      <c r="P49" s="16" t="s">
        <v>412</v>
      </c>
    </row>
    <row r="50" spans="1:16" ht="40.049999999999997" customHeight="1" x14ac:dyDescent="0.3">
      <c r="A50" s="12" t="s">
        <v>46</v>
      </c>
      <c r="B50" s="13" t="s">
        <v>192</v>
      </c>
      <c r="C50" s="13" t="s">
        <v>199</v>
      </c>
      <c r="D50" s="14" t="s">
        <v>202</v>
      </c>
      <c r="E50" s="14" t="s">
        <v>213</v>
      </c>
      <c r="F50" s="15" t="s">
        <v>218</v>
      </c>
      <c r="G50" s="14" t="s">
        <v>295</v>
      </c>
      <c r="H50" s="13" t="s">
        <v>394</v>
      </c>
      <c r="I50" s="13" t="s">
        <v>397</v>
      </c>
      <c r="J50" s="13" t="s">
        <v>399</v>
      </c>
      <c r="K50" s="13" t="s">
        <v>403</v>
      </c>
      <c r="L50" s="13" t="s">
        <v>408</v>
      </c>
      <c r="M50" s="13">
        <v>4</v>
      </c>
      <c r="N50" s="13" t="s">
        <v>381</v>
      </c>
      <c r="O50" s="13" t="s">
        <v>381</v>
      </c>
      <c r="P50" s="16" t="s">
        <v>449</v>
      </c>
    </row>
    <row r="51" spans="1:16" ht="40.049999999999997" customHeight="1" x14ac:dyDescent="0.3">
      <c r="A51" s="12" t="s">
        <v>47</v>
      </c>
      <c r="B51" s="13" t="s">
        <v>192</v>
      </c>
      <c r="C51" s="13" t="s">
        <v>198</v>
      </c>
      <c r="D51" s="14" t="s">
        <v>202</v>
      </c>
      <c r="E51" s="14" t="s">
        <v>211</v>
      </c>
      <c r="F51" s="15" t="s">
        <v>234</v>
      </c>
      <c r="G51" s="14" t="s">
        <v>296</v>
      </c>
      <c r="H51" s="13" t="s">
        <v>397</v>
      </c>
      <c r="I51" s="13" t="s">
        <v>395</v>
      </c>
      <c r="J51" s="13" t="s">
        <v>395</v>
      </c>
      <c r="K51" s="13" t="s">
        <v>403</v>
      </c>
      <c r="L51" s="13" t="s">
        <v>407</v>
      </c>
      <c r="M51" s="13">
        <v>5</v>
      </c>
      <c r="N51" s="13" t="s">
        <v>381</v>
      </c>
      <c r="O51" s="13" t="s">
        <v>381</v>
      </c>
      <c r="P51" s="16" t="s">
        <v>450</v>
      </c>
    </row>
    <row r="52" spans="1:16" ht="40.049999999999997" customHeight="1" x14ac:dyDescent="0.3">
      <c r="A52" s="12" t="s">
        <v>48</v>
      </c>
      <c r="B52" s="13" t="s">
        <v>192</v>
      </c>
      <c r="C52" s="13" t="s">
        <v>199</v>
      </c>
      <c r="D52" s="14" t="s">
        <v>202</v>
      </c>
      <c r="E52" s="14" t="s">
        <v>213</v>
      </c>
      <c r="F52" s="15" t="s">
        <v>238</v>
      </c>
      <c r="G52" s="14" t="s">
        <v>297</v>
      </c>
      <c r="H52" s="13" t="s">
        <v>397</v>
      </c>
      <c r="I52" s="13" t="s">
        <v>397</v>
      </c>
      <c r="J52" s="13" t="s">
        <v>397</v>
      </c>
      <c r="K52" s="13" t="s">
        <v>403</v>
      </c>
      <c r="L52" s="13" t="s">
        <v>407</v>
      </c>
      <c r="M52" s="13">
        <v>4</v>
      </c>
      <c r="N52" s="13" t="s">
        <v>381</v>
      </c>
      <c r="O52" s="13" t="s">
        <v>414</v>
      </c>
      <c r="P52" s="16" t="s">
        <v>451</v>
      </c>
    </row>
    <row r="53" spans="1:16" ht="40.049999999999997" customHeight="1" x14ac:dyDescent="0.3">
      <c r="A53" s="12" t="s">
        <v>49</v>
      </c>
      <c r="B53" s="13" t="s">
        <v>192</v>
      </c>
      <c r="C53" s="13" t="s">
        <v>198</v>
      </c>
      <c r="D53" s="14" t="s">
        <v>204</v>
      </c>
      <c r="E53" s="14" t="s">
        <v>212</v>
      </c>
      <c r="F53" s="15" t="s">
        <v>224</v>
      </c>
      <c r="G53" s="14" t="s">
        <v>298</v>
      </c>
      <c r="H53" s="13" t="s">
        <v>395</v>
      </c>
      <c r="I53" s="13" t="s">
        <v>395</v>
      </c>
      <c r="J53" s="13" t="s">
        <v>395</v>
      </c>
      <c r="K53" s="13" t="s">
        <v>402</v>
      </c>
      <c r="L53" s="13" t="s">
        <v>407</v>
      </c>
      <c r="M53" s="13">
        <v>1</v>
      </c>
      <c r="N53" s="13" t="s">
        <v>412</v>
      </c>
      <c r="O53" s="13" t="s">
        <v>412</v>
      </c>
      <c r="P53" s="16" t="s">
        <v>452</v>
      </c>
    </row>
    <row r="54" spans="1:16" ht="40.049999999999997" customHeight="1" x14ac:dyDescent="0.3">
      <c r="A54" s="12" t="s">
        <v>50</v>
      </c>
      <c r="B54" s="13" t="s">
        <v>192</v>
      </c>
      <c r="C54" s="13" t="s">
        <v>198</v>
      </c>
      <c r="D54" s="14" t="s">
        <v>202</v>
      </c>
      <c r="E54" s="14" t="s">
        <v>213</v>
      </c>
      <c r="F54" s="15" t="s">
        <v>225</v>
      </c>
      <c r="G54" s="14" t="s">
        <v>299</v>
      </c>
      <c r="H54" s="13" t="s">
        <v>397</v>
      </c>
      <c r="I54" s="13" t="s">
        <v>395</v>
      </c>
      <c r="J54" s="13" t="s">
        <v>395</v>
      </c>
      <c r="K54" s="13" t="s">
        <v>404</v>
      </c>
      <c r="L54" s="13" t="s">
        <v>409</v>
      </c>
      <c r="M54" s="13">
        <v>5</v>
      </c>
      <c r="N54" s="13" t="s">
        <v>412</v>
      </c>
      <c r="O54" s="13" t="s">
        <v>414</v>
      </c>
      <c r="P54" s="16"/>
    </row>
    <row r="55" spans="1:16" ht="40.049999999999997" customHeight="1" x14ac:dyDescent="0.3">
      <c r="A55" s="12" t="s">
        <v>51</v>
      </c>
      <c r="B55" s="13" t="s">
        <v>192</v>
      </c>
      <c r="C55" s="13" t="s">
        <v>199</v>
      </c>
      <c r="D55" s="14" t="s">
        <v>202</v>
      </c>
      <c r="E55" s="14" t="s">
        <v>211</v>
      </c>
      <c r="F55" s="15" t="s">
        <v>226</v>
      </c>
      <c r="G55" s="14" t="s">
        <v>300</v>
      </c>
      <c r="H55" s="13" t="s">
        <v>394</v>
      </c>
      <c r="I55" s="13" t="s">
        <v>397</v>
      </c>
      <c r="J55" s="13" t="s">
        <v>397</v>
      </c>
      <c r="K55" s="13" t="s">
        <v>403</v>
      </c>
      <c r="L55" s="13" t="s">
        <v>407</v>
      </c>
      <c r="M55" s="13">
        <v>5</v>
      </c>
      <c r="N55" s="13" t="s">
        <v>412</v>
      </c>
      <c r="O55" s="13" t="s">
        <v>412</v>
      </c>
      <c r="P55" s="16" t="s">
        <v>453</v>
      </c>
    </row>
    <row r="56" spans="1:16" ht="40.049999999999997" customHeight="1" x14ac:dyDescent="0.3">
      <c r="A56" s="12" t="s">
        <v>52</v>
      </c>
      <c r="B56" s="13" t="s">
        <v>192</v>
      </c>
      <c r="C56" s="13" t="s">
        <v>199</v>
      </c>
      <c r="D56" s="14" t="s">
        <v>202</v>
      </c>
      <c r="E56" s="14" t="s">
        <v>212</v>
      </c>
      <c r="F56" s="15" t="s">
        <v>239</v>
      </c>
      <c r="G56" s="14" t="s">
        <v>262</v>
      </c>
      <c r="H56" s="13" t="s">
        <v>395</v>
      </c>
      <c r="I56" s="13" t="s">
        <v>395</v>
      </c>
      <c r="J56" s="13" t="s">
        <v>395</v>
      </c>
      <c r="K56" s="13" t="s">
        <v>402</v>
      </c>
      <c r="L56" s="13" t="s">
        <v>409</v>
      </c>
      <c r="M56" s="13">
        <v>5</v>
      </c>
      <c r="N56" s="13" t="s">
        <v>412</v>
      </c>
      <c r="O56" s="13" t="s">
        <v>381</v>
      </c>
      <c r="P56" s="16" t="s">
        <v>454</v>
      </c>
    </row>
    <row r="57" spans="1:16" ht="40.049999999999997" customHeight="1" x14ac:dyDescent="0.3">
      <c r="A57" s="12" t="s">
        <v>53</v>
      </c>
      <c r="B57" s="13" t="s">
        <v>190</v>
      </c>
      <c r="C57" s="13" t="s">
        <v>199</v>
      </c>
      <c r="D57" s="14" t="s">
        <v>202</v>
      </c>
      <c r="E57" s="14" t="s">
        <v>212</v>
      </c>
      <c r="F57" s="15" t="s">
        <v>240</v>
      </c>
      <c r="G57" s="14" t="s">
        <v>301</v>
      </c>
      <c r="H57" s="13" t="s">
        <v>394</v>
      </c>
      <c r="I57" s="13" t="s">
        <v>399</v>
      </c>
      <c r="J57" s="13" t="s">
        <v>399</v>
      </c>
      <c r="K57" s="13" t="s">
        <v>402</v>
      </c>
      <c r="L57" s="13" t="s">
        <v>407</v>
      </c>
      <c r="M57" s="13">
        <v>5</v>
      </c>
      <c r="N57" s="13" t="s">
        <v>381</v>
      </c>
      <c r="O57" s="13" t="s">
        <v>414</v>
      </c>
      <c r="P57" s="16" t="s">
        <v>455</v>
      </c>
    </row>
    <row r="58" spans="1:16" ht="40.049999999999997" customHeight="1" x14ac:dyDescent="0.3">
      <c r="A58" s="12" t="s">
        <v>54</v>
      </c>
      <c r="B58" s="13" t="s">
        <v>194</v>
      </c>
      <c r="C58" s="13" t="s">
        <v>198</v>
      </c>
      <c r="D58" s="14" t="s">
        <v>205</v>
      </c>
      <c r="E58" s="14" t="s">
        <v>212</v>
      </c>
      <c r="F58" s="15" t="s">
        <v>226</v>
      </c>
      <c r="G58" s="14" t="s">
        <v>302</v>
      </c>
      <c r="H58" s="13" t="s">
        <v>394</v>
      </c>
      <c r="I58" s="13" t="s">
        <v>397</v>
      </c>
      <c r="J58" s="13" t="s">
        <v>394</v>
      </c>
      <c r="K58" s="13" t="s">
        <v>402</v>
      </c>
      <c r="L58" s="13" t="s">
        <v>407</v>
      </c>
      <c r="M58" s="13">
        <v>3</v>
      </c>
      <c r="N58" s="13" t="s">
        <v>381</v>
      </c>
      <c r="O58" s="13" t="s">
        <v>414</v>
      </c>
      <c r="P58" s="16" t="s">
        <v>456</v>
      </c>
    </row>
    <row r="59" spans="1:16" ht="40.049999999999997" customHeight="1" x14ac:dyDescent="0.3">
      <c r="A59" s="12" t="s">
        <v>55</v>
      </c>
      <c r="B59" s="13" t="s">
        <v>192</v>
      </c>
      <c r="C59" s="13" t="s">
        <v>199</v>
      </c>
      <c r="D59" s="14" t="s">
        <v>202</v>
      </c>
      <c r="E59" s="14" t="s">
        <v>213</v>
      </c>
      <c r="F59" s="15" t="s">
        <v>218</v>
      </c>
      <c r="G59" s="14" t="s">
        <v>303</v>
      </c>
      <c r="H59" s="13" t="s">
        <v>397</v>
      </c>
      <c r="I59" s="13" t="s">
        <v>397</v>
      </c>
      <c r="J59" s="13" t="s">
        <v>399</v>
      </c>
      <c r="K59" s="13" t="s">
        <v>402</v>
      </c>
      <c r="L59" s="13" t="s">
        <v>407</v>
      </c>
      <c r="M59" s="13">
        <v>5</v>
      </c>
      <c r="N59" s="13" t="s">
        <v>412</v>
      </c>
      <c r="O59" s="13" t="s">
        <v>381</v>
      </c>
      <c r="P59" s="16" t="s">
        <v>457</v>
      </c>
    </row>
    <row r="60" spans="1:16" ht="40.049999999999997" customHeight="1" x14ac:dyDescent="0.3">
      <c r="A60" s="12" t="s">
        <v>56</v>
      </c>
      <c r="B60" s="13" t="s">
        <v>192</v>
      </c>
      <c r="C60" s="13" t="s">
        <v>199</v>
      </c>
      <c r="D60" s="14" t="s">
        <v>202</v>
      </c>
      <c r="E60" s="14" t="s">
        <v>213</v>
      </c>
      <c r="F60" s="15" t="s">
        <v>234</v>
      </c>
      <c r="G60" s="14" t="s">
        <v>304</v>
      </c>
      <c r="H60" s="13" t="s">
        <v>395</v>
      </c>
      <c r="I60" s="13" t="s">
        <v>397</v>
      </c>
      <c r="J60" s="13" t="s">
        <v>397</v>
      </c>
      <c r="K60" s="13" t="s">
        <v>403</v>
      </c>
      <c r="L60" s="13" t="s">
        <v>407</v>
      </c>
      <c r="M60" s="13">
        <v>3</v>
      </c>
      <c r="N60" s="13" t="s">
        <v>412</v>
      </c>
      <c r="O60" s="13" t="s">
        <v>381</v>
      </c>
      <c r="P60" s="16" t="s">
        <v>458</v>
      </c>
    </row>
    <row r="61" spans="1:16" ht="40.049999999999997" customHeight="1" x14ac:dyDescent="0.3">
      <c r="A61" s="12" t="s">
        <v>57</v>
      </c>
      <c r="B61" s="13" t="s">
        <v>193</v>
      </c>
      <c r="C61" s="13" t="s">
        <v>198</v>
      </c>
      <c r="D61" s="14" t="s">
        <v>203</v>
      </c>
      <c r="E61" s="14" t="s">
        <v>211</v>
      </c>
      <c r="F61" s="15" t="s">
        <v>221</v>
      </c>
      <c r="G61" s="14" t="s">
        <v>280</v>
      </c>
      <c r="H61" s="13" t="s">
        <v>394</v>
      </c>
      <c r="I61" s="13" t="s">
        <v>397</v>
      </c>
      <c r="J61" s="13" t="s">
        <v>395</v>
      </c>
      <c r="K61" s="13" t="s">
        <v>402</v>
      </c>
      <c r="L61" s="13" t="s">
        <v>409</v>
      </c>
      <c r="M61" s="13">
        <v>3</v>
      </c>
      <c r="N61" s="13" t="s">
        <v>412</v>
      </c>
      <c r="O61" s="13" t="s">
        <v>412</v>
      </c>
      <c r="P61" s="16" t="s">
        <v>459</v>
      </c>
    </row>
    <row r="62" spans="1:16" ht="40.049999999999997" customHeight="1" x14ac:dyDescent="0.3">
      <c r="A62" s="12" t="s">
        <v>58</v>
      </c>
      <c r="B62" s="13" t="s">
        <v>192</v>
      </c>
      <c r="C62" s="13" t="s">
        <v>198</v>
      </c>
      <c r="D62" s="14" t="s">
        <v>202</v>
      </c>
      <c r="E62" s="14" t="s">
        <v>212</v>
      </c>
      <c r="F62" s="15" t="s">
        <v>241</v>
      </c>
      <c r="G62" s="14" t="s">
        <v>305</v>
      </c>
      <c r="H62" s="13" t="s">
        <v>394</v>
      </c>
      <c r="I62" s="13" t="s">
        <v>397</v>
      </c>
      <c r="J62" s="13" t="s">
        <v>395</v>
      </c>
      <c r="K62" s="13" t="s">
        <v>403</v>
      </c>
      <c r="L62" s="13" t="s">
        <v>407</v>
      </c>
      <c r="M62" s="13">
        <v>4</v>
      </c>
      <c r="N62" s="13" t="s">
        <v>412</v>
      </c>
      <c r="O62" s="13" t="s">
        <v>381</v>
      </c>
      <c r="P62" s="16"/>
    </row>
    <row r="63" spans="1:16" ht="40.049999999999997" customHeight="1" x14ac:dyDescent="0.3">
      <c r="A63" s="12" t="s">
        <v>59</v>
      </c>
      <c r="B63" s="13" t="s">
        <v>192</v>
      </c>
      <c r="C63" s="13" t="s">
        <v>198</v>
      </c>
      <c r="D63" s="14" t="s">
        <v>202</v>
      </c>
      <c r="E63" s="14" t="s">
        <v>211</v>
      </c>
      <c r="F63" s="15" t="s">
        <v>242</v>
      </c>
      <c r="G63" s="14" t="s">
        <v>306</v>
      </c>
      <c r="H63" s="13" t="s">
        <v>394</v>
      </c>
      <c r="I63" s="13" t="s">
        <v>399</v>
      </c>
      <c r="J63" s="13" t="s">
        <v>399</v>
      </c>
      <c r="K63" s="13" t="s">
        <v>403</v>
      </c>
      <c r="L63" s="13" t="s">
        <v>409</v>
      </c>
      <c r="M63" s="13">
        <v>4</v>
      </c>
      <c r="N63" s="13" t="s">
        <v>412</v>
      </c>
      <c r="O63" s="13" t="s">
        <v>414</v>
      </c>
      <c r="P63" s="16" t="s">
        <v>460</v>
      </c>
    </row>
    <row r="64" spans="1:16" ht="40.049999999999997" customHeight="1" x14ac:dyDescent="0.3">
      <c r="A64" s="12" t="s">
        <v>60</v>
      </c>
      <c r="B64" s="13" t="s">
        <v>190</v>
      </c>
      <c r="C64" s="13" t="s">
        <v>198</v>
      </c>
      <c r="D64" s="14" t="s">
        <v>202</v>
      </c>
      <c r="E64" s="14" t="s">
        <v>211</v>
      </c>
      <c r="F64" s="15" t="s">
        <v>239</v>
      </c>
      <c r="G64" s="14" t="s">
        <v>268</v>
      </c>
      <c r="H64" s="13" t="s">
        <v>397</v>
      </c>
      <c r="I64" s="13" t="s">
        <v>397</v>
      </c>
      <c r="J64" s="13" t="s">
        <v>394</v>
      </c>
      <c r="K64" s="13" t="s">
        <v>403</v>
      </c>
      <c r="L64" s="13" t="s">
        <v>409</v>
      </c>
      <c r="M64" s="13">
        <v>4</v>
      </c>
      <c r="N64" s="13" t="s">
        <v>381</v>
      </c>
      <c r="O64" s="13" t="s">
        <v>381</v>
      </c>
      <c r="P64" s="16" t="s">
        <v>461</v>
      </c>
    </row>
    <row r="65" spans="1:16" ht="40.049999999999997" customHeight="1" x14ac:dyDescent="0.3">
      <c r="A65" s="12" t="s">
        <v>61</v>
      </c>
      <c r="B65" s="13" t="s">
        <v>192</v>
      </c>
      <c r="C65" s="13" t="s">
        <v>198</v>
      </c>
      <c r="D65" s="14" t="s">
        <v>202</v>
      </c>
      <c r="E65" s="14" t="s">
        <v>211</v>
      </c>
      <c r="F65" s="15" t="s">
        <v>243</v>
      </c>
      <c r="G65" s="14" t="s">
        <v>307</v>
      </c>
      <c r="H65" s="13" t="s">
        <v>394</v>
      </c>
      <c r="I65" s="13" t="s">
        <v>397</v>
      </c>
      <c r="J65" s="13" t="s">
        <v>397</v>
      </c>
      <c r="K65" s="13" t="s">
        <v>402</v>
      </c>
      <c r="L65" s="13" t="s">
        <v>409</v>
      </c>
      <c r="M65" s="13">
        <v>3</v>
      </c>
      <c r="N65" s="13" t="s">
        <v>412</v>
      </c>
      <c r="O65" s="13" t="s">
        <v>412</v>
      </c>
      <c r="P65" s="16" t="s">
        <v>462</v>
      </c>
    </row>
    <row r="66" spans="1:16" ht="40.049999999999997" customHeight="1" x14ac:dyDescent="0.3">
      <c r="A66" s="12" t="s">
        <v>62</v>
      </c>
      <c r="B66" s="13" t="s">
        <v>192</v>
      </c>
      <c r="C66" s="13" t="s">
        <v>199</v>
      </c>
      <c r="D66" s="14" t="s">
        <v>202</v>
      </c>
      <c r="E66" s="14" t="s">
        <v>213</v>
      </c>
      <c r="F66" s="15" t="s">
        <v>218</v>
      </c>
      <c r="G66" s="14" t="s">
        <v>308</v>
      </c>
      <c r="H66" s="13" t="s">
        <v>394</v>
      </c>
      <c r="I66" s="13" t="s">
        <v>395</v>
      </c>
      <c r="J66" s="13" t="s">
        <v>395</v>
      </c>
      <c r="K66" s="13" t="s">
        <v>403</v>
      </c>
      <c r="L66" s="13" t="s">
        <v>409</v>
      </c>
      <c r="M66" s="13">
        <v>5</v>
      </c>
      <c r="N66" s="13" t="s">
        <v>381</v>
      </c>
      <c r="O66" s="13" t="s">
        <v>414</v>
      </c>
      <c r="P66" s="16" t="s">
        <v>463</v>
      </c>
    </row>
    <row r="67" spans="1:16" ht="40.049999999999997" customHeight="1" x14ac:dyDescent="0.3">
      <c r="A67" s="12" t="s">
        <v>63</v>
      </c>
      <c r="B67" s="13" t="s">
        <v>192</v>
      </c>
      <c r="C67" s="13" t="s">
        <v>199</v>
      </c>
      <c r="D67" s="14" t="s">
        <v>202</v>
      </c>
      <c r="E67" s="14" t="s">
        <v>213</v>
      </c>
      <c r="F67" s="15" t="s">
        <v>239</v>
      </c>
      <c r="G67" s="14"/>
      <c r="H67" s="13" t="s">
        <v>397</v>
      </c>
      <c r="I67" s="13" t="s">
        <v>395</v>
      </c>
      <c r="J67" s="13" t="s">
        <v>395</v>
      </c>
      <c r="K67" s="13" t="s">
        <v>402</v>
      </c>
      <c r="L67" s="13" t="s">
        <v>407</v>
      </c>
      <c r="M67" s="13">
        <v>4</v>
      </c>
      <c r="N67" s="13" t="s">
        <v>381</v>
      </c>
      <c r="O67" s="13" t="s">
        <v>414</v>
      </c>
      <c r="P67" s="16"/>
    </row>
    <row r="68" spans="1:16" ht="40.049999999999997" customHeight="1" x14ac:dyDescent="0.3">
      <c r="A68" s="12" t="s">
        <v>64</v>
      </c>
      <c r="B68" s="13" t="s">
        <v>192</v>
      </c>
      <c r="C68" s="13" t="s">
        <v>199</v>
      </c>
      <c r="D68" s="14" t="s">
        <v>202</v>
      </c>
      <c r="E68" s="14" t="s">
        <v>213</v>
      </c>
      <c r="F68" s="15" t="s">
        <v>218</v>
      </c>
      <c r="G68" s="14" t="s">
        <v>309</v>
      </c>
      <c r="H68" s="13" t="s">
        <v>395</v>
      </c>
      <c r="I68" s="13" t="s">
        <v>395</v>
      </c>
      <c r="J68" s="13" t="s">
        <v>395</v>
      </c>
      <c r="K68" s="13" t="s">
        <v>403</v>
      </c>
      <c r="L68" s="13" t="s">
        <v>407</v>
      </c>
      <c r="M68" s="13">
        <v>5</v>
      </c>
      <c r="N68" s="13" t="s">
        <v>381</v>
      </c>
      <c r="O68" s="13" t="s">
        <v>381</v>
      </c>
      <c r="P68" s="16" t="s">
        <v>464</v>
      </c>
    </row>
    <row r="69" spans="1:16" ht="40.049999999999997" customHeight="1" x14ac:dyDescent="0.3">
      <c r="A69" s="12" t="s">
        <v>65</v>
      </c>
      <c r="B69" s="13" t="s">
        <v>192</v>
      </c>
      <c r="C69" s="13" t="s">
        <v>198</v>
      </c>
      <c r="D69" s="14" t="s">
        <v>202</v>
      </c>
      <c r="E69" s="14" t="s">
        <v>211</v>
      </c>
      <c r="F69" s="15" t="s">
        <v>218</v>
      </c>
      <c r="G69" s="14" t="s">
        <v>310</v>
      </c>
      <c r="H69" s="13" t="s">
        <v>397</v>
      </c>
      <c r="I69" s="13" t="s">
        <v>397</v>
      </c>
      <c r="J69" s="13" t="s">
        <v>397</v>
      </c>
      <c r="K69" s="13" t="s">
        <v>403</v>
      </c>
      <c r="L69" s="13" t="s">
        <v>407</v>
      </c>
      <c r="M69" s="13">
        <v>4</v>
      </c>
      <c r="N69" s="13" t="s">
        <v>381</v>
      </c>
      <c r="O69" s="13" t="s">
        <v>414</v>
      </c>
      <c r="P69" s="16"/>
    </row>
    <row r="70" spans="1:16" ht="40.049999999999997" customHeight="1" x14ac:dyDescent="0.3">
      <c r="A70" s="12" t="s">
        <v>66</v>
      </c>
      <c r="B70" s="13" t="s">
        <v>192</v>
      </c>
      <c r="C70" s="13" t="s">
        <v>199</v>
      </c>
      <c r="D70" s="14" t="s">
        <v>202</v>
      </c>
      <c r="E70" s="14" t="s">
        <v>213</v>
      </c>
      <c r="F70" s="15" t="s">
        <v>234</v>
      </c>
      <c r="G70" s="14" t="s">
        <v>262</v>
      </c>
      <c r="H70" s="13" t="s">
        <v>397</v>
      </c>
      <c r="I70" s="13" t="s">
        <v>395</v>
      </c>
      <c r="J70" s="13" t="s">
        <v>395</v>
      </c>
      <c r="K70" s="13" t="s">
        <v>405</v>
      </c>
      <c r="L70" s="13" t="s">
        <v>409</v>
      </c>
      <c r="M70" s="13">
        <v>3</v>
      </c>
      <c r="N70" s="13" t="s">
        <v>412</v>
      </c>
      <c r="O70" s="13" t="s">
        <v>414</v>
      </c>
      <c r="P70" s="16"/>
    </row>
    <row r="71" spans="1:16" ht="40.049999999999997" customHeight="1" x14ac:dyDescent="0.3">
      <c r="A71" s="12" t="s">
        <v>67</v>
      </c>
      <c r="B71" s="13" t="s">
        <v>192</v>
      </c>
      <c r="C71" s="13" t="s">
        <v>199</v>
      </c>
      <c r="D71" s="14" t="s">
        <v>202</v>
      </c>
      <c r="E71" s="14" t="s">
        <v>211</v>
      </c>
      <c r="F71" s="15" t="s">
        <v>218</v>
      </c>
      <c r="G71" s="14" t="s">
        <v>280</v>
      </c>
      <c r="H71" s="13" t="s">
        <v>394</v>
      </c>
      <c r="I71" s="13" t="s">
        <v>397</v>
      </c>
      <c r="J71" s="13" t="s">
        <v>397</v>
      </c>
      <c r="K71" s="13" t="s">
        <v>403</v>
      </c>
      <c r="L71" s="13" t="s">
        <v>407</v>
      </c>
      <c r="M71" s="13">
        <v>4</v>
      </c>
      <c r="N71" s="13" t="s">
        <v>381</v>
      </c>
      <c r="O71" s="13" t="s">
        <v>381</v>
      </c>
      <c r="P71" s="16" t="s">
        <v>465</v>
      </c>
    </row>
    <row r="72" spans="1:16" ht="40.049999999999997" customHeight="1" x14ac:dyDescent="0.3">
      <c r="A72" s="12" t="s">
        <v>68</v>
      </c>
      <c r="B72" s="13" t="s">
        <v>192</v>
      </c>
      <c r="C72" s="13" t="s">
        <v>199</v>
      </c>
      <c r="D72" s="14" t="s">
        <v>202</v>
      </c>
      <c r="E72" s="14" t="s">
        <v>212</v>
      </c>
      <c r="F72" s="15" t="s">
        <v>219</v>
      </c>
      <c r="G72" s="14" t="s">
        <v>311</v>
      </c>
      <c r="H72" s="13" t="s">
        <v>396</v>
      </c>
      <c r="I72" s="13" t="s">
        <v>394</v>
      </c>
      <c r="J72" s="13" t="s">
        <v>394</v>
      </c>
      <c r="K72" s="13" t="s">
        <v>403</v>
      </c>
      <c r="L72" s="13" t="s">
        <v>409</v>
      </c>
      <c r="M72" s="13">
        <v>5</v>
      </c>
      <c r="N72" s="13" t="s">
        <v>381</v>
      </c>
      <c r="O72" s="13" t="s">
        <v>414</v>
      </c>
      <c r="P72" s="16" t="s">
        <v>466</v>
      </c>
    </row>
    <row r="73" spans="1:16" ht="40.049999999999997" customHeight="1" x14ac:dyDescent="0.3">
      <c r="A73" s="12" t="s">
        <v>69</v>
      </c>
      <c r="B73" s="13" t="s">
        <v>192</v>
      </c>
      <c r="C73" s="13" t="s">
        <v>199</v>
      </c>
      <c r="D73" s="14" t="s">
        <v>202</v>
      </c>
      <c r="E73" s="14" t="s">
        <v>211</v>
      </c>
      <c r="F73" s="15" t="s">
        <v>244</v>
      </c>
      <c r="G73" s="14" t="s">
        <v>312</v>
      </c>
      <c r="H73" s="13" t="s">
        <v>397</v>
      </c>
      <c r="I73" s="13" t="s">
        <v>397</v>
      </c>
      <c r="J73" s="13" t="s">
        <v>397</v>
      </c>
      <c r="K73" s="13" t="s">
        <v>403</v>
      </c>
      <c r="L73" s="13" t="s">
        <v>407</v>
      </c>
      <c r="M73" s="13">
        <v>4</v>
      </c>
      <c r="N73" s="13" t="s">
        <v>381</v>
      </c>
      <c r="O73" s="13" t="s">
        <v>414</v>
      </c>
      <c r="P73" s="16" t="s">
        <v>467</v>
      </c>
    </row>
    <row r="74" spans="1:16" ht="40.049999999999997" customHeight="1" x14ac:dyDescent="0.3">
      <c r="A74" s="12" t="s">
        <v>70</v>
      </c>
      <c r="B74" s="13" t="s">
        <v>192</v>
      </c>
      <c r="C74" s="13" t="s">
        <v>198</v>
      </c>
      <c r="D74" s="14" t="s">
        <v>202</v>
      </c>
      <c r="E74" s="14" t="s">
        <v>211</v>
      </c>
      <c r="F74" s="15" t="s">
        <v>231</v>
      </c>
      <c r="G74" s="14" t="s">
        <v>313</v>
      </c>
      <c r="H74" s="13" t="s">
        <v>397</v>
      </c>
      <c r="I74" s="13" t="s">
        <v>395</v>
      </c>
      <c r="J74" s="13" t="s">
        <v>395</v>
      </c>
      <c r="K74" s="13" t="s">
        <v>402</v>
      </c>
      <c r="L74" s="13" t="s">
        <v>409</v>
      </c>
      <c r="M74" s="13">
        <v>5</v>
      </c>
      <c r="N74" s="13" t="s">
        <v>412</v>
      </c>
      <c r="O74" s="13" t="s">
        <v>381</v>
      </c>
      <c r="P74" s="16" t="s">
        <v>468</v>
      </c>
    </row>
    <row r="75" spans="1:16" ht="40.049999999999997" customHeight="1" x14ac:dyDescent="0.3">
      <c r="A75" s="12" t="s">
        <v>71</v>
      </c>
      <c r="B75" s="13" t="s">
        <v>192</v>
      </c>
      <c r="C75" s="13" t="s">
        <v>198</v>
      </c>
      <c r="D75" s="14" t="s">
        <v>202</v>
      </c>
      <c r="E75" s="14" t="s">
        <v>212</v>
      </c>
      <c r="F75" s="15" t="s">
        <v>230</v>
      </c>
      <c r="G75" s="14" t="s">
        <v>314</v>
      </c>
      <c r="H75" s="13" t="s">
        <v>397</v>
      </c>
      <c r="I75" s="13" t="s">
        <v>397</v>
      </c>
      <c r="J75" s="13" t="s">
        <v>397</v>
      </c>
      <c r="K75" s="13" t="s">
        <v>402</v>
      </c>
      <c r="L75" s="13" t="s">
        <v>409</v>
      </c>
      <c r="M75" s="13">
        <v>2</v>
      </c>
      <c r="N75" s="13" t="s">
        <v>412</v>
      </c>
      <c r="O75" s="13" t="s">
        <v>414</v>
      </c>
      <c r="P75" s="16"/>
    </row>
    <row r="76" spans="1:16" ht="40.049999999999997" customHeight="1" x14ac:dyDescent="0.3">
      <c r="A76" s="12" t="s">
        <v>72</v>
      </c>
      <c r="B76" s="13" t="s">
        <v>192</v>
      </c>
      <c r="C76" s="13" t="s">
        <v>199</v>
      </c>
      <c r="D76" s="14" t="s">
        <v>202</v>
      </c>
      <c r="E76" s="14" t="s">
        <v>212</v>
      </c>
      <c r="F76" s="15" t="s">
        <v>218</v>
      </c>
      <c r="G76" s="14" t="s">
        <v>315</v>
      </c>
      <c r="H76" s="13" t="s">
        <v>394</v>
      </c>
      <c r="I76" s="13" t="s">
        <v>394</v>
      </c>
      <c r="J76" s="13" t="s">
        <v>397</v>
      </c>
      <c r="K76" s="13" t="s">
        <v>402</v>
      </c>
      <c r="L76" s="13" t="s">
        <v>407</v>
      </c>
      <c r="M76" s="13">
        <v>5</v>
      </c>
      <c r="N76" s="13" t="s">
        <v>412</v>
      </c>
      <c r="O76" s="13" t="s">
        <v>381</v>
      </c>
      <c r="P76" s="16"/>
    </row>
    <row r="77" spans="1:16" ht="40.049999999999997" customHeight="1" x14ac:dyDescent="0.3">
      <c r="A77" s="12" t="s">
        <v>73</v>
      </c>
      <c r="B77" s="13" t="s">
        <v>192</v>
      </c>
      <c r="C77" s="13" t="s">
        <v>199</v>
      </c>
      <c r="D77" s="14" t="s">
        <v>202</v>
      </c>
      <c r="E77" s="14" t="s">
        <v>211</v>
      </c>
      <c r="F77" s="15" t="s">
        <v>223</v>
      </c>
      <c r="G77" s="14" t="s">
        <v>316</v>
      </c>
      <c r="H77" s="13" t="s">
        <v>396</v>
      </c>
      <c r="I77" s="13" t="s">
        <v>397</v>
      </c>
      <c r="J77" s="13" t="s">
        <v>399</v>
      </c>
      <c r="K77" s="13" t="s">
        <v>402</v>
      </c>
      <c r="L77" s="13" t="s">
        <v>407</v>
      </c>
      <c r="M77" s="13">
        <v>4</v>
      </c>
      <c r="N77" s="13" t="s">
        <v>412</v>
      </c>
      <c r="O77" s="13" t="s">
        <v>381</v>
      </c>
      <c r="P77" s="16" t="s">
        <v>469</v>
      </c>
    </row>
    <row r="78" spans="1:16" ht="40.049999999999997" customHeight="1" x14ac:dyDescent="0.3">
      <c r="A78" s="12" t="s">
        <v>74</v>
      </c>
      <c r="B78" s="13" t="s">
        <v>193</v>
      </c>
      <c r="C78" s="13" t="s">
        <v>199</v>
      </c>
      <c r="D78" s="14" t="s">
        <v>201</v>
      </c>
      <c r="E78" s="14" t="s">
        <v>211</v>
      </c>
      <c r="F78" s="15" t="s">
        <v>240</v>
      </c>
      <c r="G78" s="14" t="s">
        <v>262</v>
      </c>
      <c r="H78" s="13" t="s">
        <v>395</v>
      </c>
      <c r="I78" s="13" t="s">
        <v>395</v>
      </c>
      <c r="J78" s="13" t="s">
        <v>395</v>
      </c>
      <c r="K78" s="13" t="s">
        <v>403</v>
      </c>
      <c r="L78" s="13" t="s">
        <v>407</v>
      </c>
      <c r="M78" s="13">
        <v>4</v>
      </c>
      <c r="N78" s="13" t="s">
        <v>381</v>
      </c>
      <c r="O78" s="13" t="s">
        <v>381</v>
      </c>
      <c r="P78" s="16" t="s">
        <v>470</v>
      </c>
    </row>
    <row r="79" spans="1:16" ht="40.049999999999997" customHeight="1" x14ac:dyDescent="0.3">
      <c r="A79" s="12" t="s">
        <v>75</v>
      </c>
      <c r="B79" s="13" t="s">
        <v>192</v>
      </c>
      <c r="C79" s="13" t="s">
        <v>199</v>
      </c>
      <c r="D79" s="14" t="s">
        <v>202</v>
      </c>
      <c r="E79" s="14" t="s">
        <v>213</v>
      </c>
      <c r="F79" s="15" t="s">
        <v>238</v>
      </c>
      <c r="G79" s="14" t="s">
        <v>317</v>
      </c>
      <c r="H79" s="13" t="s">
        <v>394</v>
      </c>
      <c r="I79" s="13" t="s">
        <v>397</v>
      </c>
      <c r="J79" s="13" t="s">
        <v>399</v>
      </c>
      <c r="K79" s="13" t="s">
        <v>402</v>
      </c>
      <c r="L79" s="13" t="s">
        <v>409</v>
      </c>
      <c r="M79" s="13">
        <v>4</v>
      </c>
      <c r="N79" s="13" t="s">
        <v>381</v>
      </c>
      <c r="O79" s="13" t="s">
        <v>414</v>
      </c>
      <c r="P79" s="16" t="s">
        <v>426</v>
      </c>
    </row>
    <row r="80" spans="1:16" ht="40.049999999999997" customHeight="1" x14ac:dyDescent="0.3">
      <c r="A80" s="12" t="s">
        <v>76</v>
      </c>
      <c r="B80" s="13" t="s">
        <v>192</v>
      </c>
      <c r="C80" s="13" t="s">
        <v>199</v>
      </c>
      <c r="D80" s="14" t="s">
        <v>202</v>
      </c>
      <c r="E80" s="14" t="s">
        <v>212</v>
      </c>
      <c r="F80" s="15" t="s">
        <v>245</v>
      </c>
      <c r="G80" s="14" t="s">
        <v>318</v>
      </c>
      <c r="H80" s="13" t="s">
        <v>397</v>
      </c>
      <c r="I80" s="13" t="s">
        <v>397</v>
      </c>
      <c r="J80" s="13" t="s">
        <v>395</v>
      </c>
      <c r="K80" s="13" t="s">
        <v>402</v>
      </c>
      <c r="L80" s="13" t="s">
        <v>407</v>
      </c>
      <c r="M80" s="13">
        <v>5</v>
      </c>
      <c r="N80" s="13" t="s">
        <v>412</v>
      </c>
      <c r="O80" s="13" t="s">
        <v>414</v>
      </c>
      <c r="P80" s="16" t="s">
        <v>471</v>
      </c>
    </row>
    <row r="81" spans="1:16" ht="40.049999999999997" customHeight="1" x14ac:dyDescent="0.3">
      <c r="A81" s="12" t="s">
        <v>77</v>
      </c>
      <c r="B81" s="13" t="s">
        <v>192</v>
      </c>
      <c r="C81" s="13" t="s">
        <v>199</v>
      </c>
      <c r="D81" s="14" t="s">
        <v>202</v>
      </c>
      <c r="E81" s="14" t="s">
        <v>212</v>
      </c>
      <c r="F81" s="15" t="s">
        <v>226</v>
      </c>
      <c r="G81" s="14" t="s">
        <v>319</v>
      </c>
      <c r="H81" s="13" t="s">
        <v>397</v>
      </c>
      <c r="I81" s="13" t="s">
        <v>397</v>
      </c>
      <c r="J81" s="13" t="s">
        <v>397</v>
      </c>
      <c r="K81" s="13" t="s">
        <v>403</v>
      </c>
      <c r="L81" s="13" t="s">
        <v>407</v>
      </c>
      <c r="M81" s="13">
        <v>3</v>
      </c>
      <c r="N81" s="13" t="s">
        <v>381</v>
      </c>
      <c r="O81" s="13" t="s">
        <v>414</v>
      </c>
      <c r="P81" s="16"/>
    </row>
    <row r="82" spans="1:16" ht="40.049999999999997" customHeight="1" x14ac:dyDescent="0.3">
      <c r="A82" s="12" t="s">
        <v>78</v>
      </c>
      <c r="B82" s="13" t="s">
        <v>194</v>
      </c>
      <c r="C82" s="13" t="s">
        <v>199</v>
      </c>
      <c r="D82" s="14" t="s">
        <v>201</v>
      </c>
      <c r="E82" s="14" t="s">
        <v>211</v>
      </c>
      <c r="F82" s="15" t="s">
        <v>238</v>
      </c>
      <c r="G82" s="14" t="s">
        <v>320</v>
      </c>
      <c r="H82" s="13" t="s">
        <v>397</v>
      </c>
      <c r="I82" s="13" t="s">
        <v>397</v>
      </c>
      <c r="J82" s="13" t="s">
        <v>397</v>
      </c>
      <c r="K82" s="13" t="s">
        <v>403</v>
      </c>
      <c r="L82" s="13" t="s">
        <v>407</v>
      </c>
      <c r="M82" s="13">
        <v>5</v>
      </c>
      <c r="N82" s="13" t="s">
        <v>412</v>
      </c>
      <c r="O82" s="13" t="s">
        <v>414</v>
      </c>
      <c r="P82" s="16" t="s">
        <v>472</v>
      </c>
    </row>
    <row r="83" spans="1:16" ht="40.049999999999997" customHeight="1" x14ac:dyDescent="0.3">
      <c r="A83" s="12" t="s">
        <v>79</v>
      </c>
      <c r="B83" s="13" t="s">
        <v>192</v>
      </c>
      <c r="C83" s="13" t="s">
        <v>199</v>
      </c>
      <c r="D83" s="14" t="s">
        <v>202</v>
      </c>
      <c r="E83" s="14" t="s">
        <v>213</v>
      </c>
      <c r="F83" s="15" t="s">
        <v>234</v>
      </c>
      <c r="G83" s="14" t="s">
        <v>321</v>
      </c>
      <c r="H83" s="13" t="s">
        <v>395</v>
      </c>
      <c r="I83" s="13" t="s">
        <v>397</v>
      </c>
      <c r="J83" s="13" t="s">
        <v>397</v>
      </c>
      <c r="K83" s="13" t="s">
        <v>402</v>
      </c>
      <c r="L83" s="13" t="s">
        <v>407</v>
      </c>
      <c r="M83" s="13">
        <v>4</v>
      </c>
      <c r="N83" s="13" t="s">
        <v>381</v>
      </c>
      <c r="O83" s="13" t="s">
        <v>414</v>
      </c>
      <c r="P83" s="16" t="s">
        <v>473</v>
      </c>
    </row>
    <row r="84" spans="1:16" ht="40.049999999999997" customHeight="1" x14ac:dyDescent="0.3">
      <c r="A84" s="12" t="s">
        <v>80</v>
      </c>
      <c r="B84" s="13" t="s">
        <v>192</v>
      </c>
      <c r="C84" s="13" t="s">
        <v>199</v>
      </c>
      <c r="D84" s="14" t="s">
        <v>202</v>
      </c>
      <c r="E84" s="14" t="s">
        <v>212</v>
      </c>
      <c r="F84" s="15" t="s">
        <v>246</v>
      </c>
      <c r="G84" s="14" t="s">
        <v>322</v>
      </c>
      <c r="H84" s="13" t="s">
        <v>397</v>
      </c>
      <c r="I84" s="13" t="s">
        <v>397</v>
      </c>
      <c r="J84" s="13" t="s">
        <v>397</v>
      </c>
      <c r="K84" s="13" t="s">
        <v>403</v>
      </c>
      <c r="L84" s="13" t="s">
        <v>407</v>
      </c>
      <c r="M84" s="13">
        <v>4</v>
      </c>
      <c r="N84" s="13" t="s">
        <v>412</v>
      </c>
      <c r="O84" s="13" t="s">
        <v>414</v>
      </c>
      <c r="P84" s="16" t="s">
        <v>474</v>
      </c>
    </row>
    <row r="85" spans="1:16" ht="40.049999999999997" customHeight="1" x14ac:dyDescent="0.3">
      <c r="A85" s="12" t="s">
        <v>81</v>
      </c>
      <c r="B85" s="13" t="s">
        <v>192</v>
      </c>
      <c r="C85" s="13" t="s">
        <v>199</v>
      </c>
      <c r="D85" s="14" t="s">
        <v>202</v>
      </c>
      <c r="E85" s="14" t="s">
        <v>212</v>
      </c>
      <c r="F85" s="15" t="s">
        <v>223</v>
      </c>
      <c r="G85" s="14" t="s">
        <v>323</v>
      </c>
      <c r="H85" s="13" t="s">
        <v>396</v>
      </c>
      <c r="I85" s="13" t="s">
        <v>397</v>
      </c>
      <c r="J85" s="13" t="s">
        <v>397</v>
      </c>
      <c r="K85" s="13" t="s">
        <v>403</v>
      </c>
      <c r="L85" s="13" t="s">
        <v>407</v>
      </c>
      <c r="M85" s="13">
        <v>3</v>
      </c>
      <c r="N85" s="13" t="s">
        <v>412</v>
      </c>
      <c r="O85" s="13" t="s">
        <v>381</v>
      </c>
      <c r="P85" s="16" t="s">
        <v>475</v>
      </c>
    </row>
    <row r="86" spans="1:16" ht="40.049999999999997" customHeight="1" x14ac:dyDescent="0.3">
      <c r="A86" s="12" t="s">
        <v>82</v>
      </c>
      <c r="B86" s="13" t="s">
        <v>192</v>
      </c>
      <c r="C86" s="13" t="s">
        <v>199</v>
      </c>
      <c r="D86" s="14" t="s">
        <v>202</v>
      </c>
      <c r="E86" s="14" t="s">
        <v>212</v>
      </c>
      <c r="F86" s="15" t="s">
        <v>247</v>
      </c>
      <c r="G86" s="14" t="s">
        <v>262</v>
      </c>
      <c r="H86" s="13" t="s">
        <v>397</v>
      </c>
      <c r="I86" s="13" t="s">
        <v>397</v>
      </c>
      <c r="J86" s="13" t="s">
        <v>394</v>
      </c>
      <c r="K86" s="13" t="s">
        <v>403</v>
      </c>
      <c r="L86" s="13" t="s">
        <v>407</v>
      </c>
      <c r="M86" s="13">
        <v>4</v>
      </c>
      <c r="N86" s="13" t="s">
        <v>412</v>
      </c>
      <c r="O86" s="13" t="s">
        <v>381</v>
      </c>
      <c r="P86" s="16"/>
    </row>
    <row r="87" spans="1:16" ht="40.049999999999997" customHeight="1" x14ac:dyDescent="0.3">
      <c r="A87" s="12" t="s">
        <v>83</v>
      </c>
      <c r="B87" s="13" t="s">
        <v>194</v>
      </c>
      <c r="C87" s="13" t="s">
        <v>199</v>
      </c>
      <c r="D87" s="14" t="s">
        <v>201</v>
      </c>
      <c r="E87" s="14" t="s">
        <v>212</v>
      </c>
      <c r="F87" s="15" t="s">
        <v>240</v>
      </c>
      <c r="G87" s="14" t="s">
        <v>324</v>
      </c>
      <c r="H87" s="13" t="s">
        <v>394</v>
      </c>
      <c r="I87" s="13" t="s">
        <v>399</v>
      </c>
      <c r="J87" s="13" t="s">
        <v>397</v>
      </c>
      <c r="K87" s="13" t="s">
        <v>402</v>
      </c>
      <c r="L87" s="13" t="s">
        <v>407</v>
      </c>
      <c r="M87" s="13">
        <v>5</v>
      </c>
      <c r="N87" s="13" t="s">
        <v>412</v>
      </c>
      <c r="O87" s="13" t="s">
        <v>414</v>
      </c>
      <c r="P87" s="16" t="s">
        <v>475</v>
      </c>
    </row>
    <row r="88" spans="1:16" ht="40.049999999999997" customHeight="1" x14ac:dyDescent="0.3">
      <c r="A88" s="12" t="s">
        <v>84</v>
      </c>
      <c r="B88" s="13" t="s">
        <v>192</v>
      </c>
      <c r="C88" s="13" t="s">
        <v>199</v>
      </c>
      <c r="D88" s="14" t="s">
        <v>202</v>
      </c>
      <c r="E88" s="14" t="s">
        <v>213</v>
      </c>
      <c r="F88" s="15" t="s">
        <v>218</v>
      </c>
      <c r="G88" s="14" t="s">
        <v>303</v>
      </c>
      <c r="H88" s="13" t="s">
        <v>395</v>
      </c>
      <c r="I88" s="13" t="s">
        <v>395</v>
      </c>
      <c r="J88" s="13" t="s">
        <v>395</v>
      </c>
      <c r="K88" s="13" t="s">
        <v>402</v>
      </c>
      <c r="L88" s="13" t="s">
        <v>407</v>
      </c>
      <c r="M88" s="13">
        <v>5</v>
      </c>
      <c r="N88" s="13" t="s">
        <v>381</v>
      </c>
      <c r="O88" s="13" t="s">
        <v>381</v>
      </c>
      <c r="P88" s="16" t="s">
        <v>476</v>
      </c>
    </row>
    <row r="89" spans="1:16" ht="40.049999999999997" customHeight="1" x14ac:dyDescent="0.3">
      <c r="A89" s="12" t="s">
        <v>85</v>
      </c>
      <c r="B89" s="13" t="s">
        <v>190</v>
      </c>
      <c r="C89" s="13" t="s">
        <v>198</v>
      </c>
      <c r="D89" s="14" t="s">
        <v>202</v>
      </c>
      <c r="E89" s="14" t="s">
        <v>213</v>
      </c>
      <c r="F89" s="15" t="s">
        <v>248</v>
      </c>
      <c r="G89" s="14"/>
      <c r="H89" s="13" t="s">
        <v>397</v>
      </c>
      <c r="I89" s="13" t="s">
        <v>397</v>
      </c>
      <c r="J89" s="13" t="s">
        <v>394</v>
      </c>
      <c r="K89" s="13" t="s">
        <v>403</v>
      </c>
      <c r="L89" s="13" t="s">
        <v>409</v>
      </c>
      <c r="M89" s="13">
        <v>3</v>
      </c>
      <c r="N89" s="13" t="s">
        <v>412</v>
      </c>
      <c r="O89" s="13" t="s">
        <v>381</v>
      </c>
      <c r="P89" s="16"/>
    </row>
    <row r="90" spans="1:16" ht="40.049999999999997" customHeight="1" x14ac:dyDescent="0.3">
      <c r="A90" s="12" t="s">
        <v>86</v>
      </c>
      <c r="B90" s="13" t="s">
        <v>192</v>
      </c>
      <c r="C90" s="13" t="s">
        <v>198</v>
      </c>
      <c r="D90" s="14" t="s">
        <v>202</v>
      </c>
      <c r="E90" s="14" t="s">
        <v>211</v>
      </c>
      <c r="F90" s="15" t="s">
        <v>249</v>
      </c>
      <c r="G90" s="14" t="s">
        <v>325</v>
      </c>
      <c r="H90" s="13" t="s">
        <v>394</v>
      </c>
      <c r="I90" s="13" t="s">
        <v>399</v>
      </c>
      <c r="J90" s="13" t="s">
        <v>397</v>
      </c>
      <c r="K90" s="13" t="s">
        <v>402</v>
      </c>
      <c r="L90" s="13" t="s">
        <v>409</v>
      </c>
      <c r="M90" s="13">
        <v>4</v>
      </c>
      <c r="N90" s="13" t="s">
        <v>412</v>
      </c>
      <c r="O90" s="13" t="s">
        <v>381</v>
      </c>
      <c r="P90" s="16" t="s">
        <v>477</v>
      </c>
    </row>
    <row r="91" spans="1:16" ht="40.049999999999997" customHeight="1" x14ac:dyDescent="0.3">
      <c r="A91" s="12" t="s">
        <v>87</v>
      </c>
      <c r="B91" s="13" t="s">
        <v>192</v>
      </c>
      <c r="C91" s="13" t="s">
        <v>199</v>
      </c>
      <c r="D91" s="14" t="s">
        <v>202</v>
      </c>
      <c r="E91" s="14" t="s">
        <v>214</v>
      </c>
      <c r="F91" s="15" t="s">
        <v>219</v>
      </c>
      <c r="G91" s="14" t="s">
        <v>262</v>
      </c>
      <c r="H91" s="13" t="s">
        <v>394</v>
      </c>
      <c r="I91" s="13" t="s">
        <v>397</v>
      </c>
      <c r="J91" s="13" t="s">
        <v>395</v>
      </c>
      <c r="K91" s="13" t="s">
        <v>403</v>
      </c>
      <c r="L91" s="13" t="s">
        <v>407</v>
      </c>
      <c r="M91" s="13">
        <v>5</v>
      </c>
      <c r="N91" s="13" t="s">
        <v>412</v>
      </c>
      <c r="O91" s="13" t="s">
        <v>414</v>
      </c>
      <c r="P91" s="16" t="s">
        <v>420</v>
      </c>
    </row>
    <row r="92" spans="1:16" ht="40.049999999999997" customHeight="1" x14ac:dyDescent="0.3">
      <c r="A92" s="12" t="s">
        <v>88</v>
      </c>
      <c r="B92" s="13" t="s">
        <v>190</v>
      </c>
      <c r="C92" s="13" t="s">
        <v>198</v>
      </c>
      <c r="D92" s="14" t="s">
        <v>202</v>
      </c>
      <c r="E92" s="14" t="s">
        <v>212</v>
      </c>
      <c r="F92" s="15" t="s">
        <v>239</v>
      </c>
      <c r="G92" s="14"/>
      <c r="H92" s="13" t="s">
        <v>394</v>
      </c>
      <c r="I92" s="13" t="s">
        <v>394</v>
      </c>
      <c r="J92" s="13" t="s">
        <v>399</v>
      </c>
      <c r="K92" s="13" t="s">
        <v>403</v>
      </c>
      <c r="L92" s="13" t="s">
        <v>409</v>
      </c>
      <c r="M92" s="13">
        <v>5</v>
      </c>
      <c r="N92" s="13" t="s">
        <v>381</v>
      </c>
      <c r="O92" s="13" t="s">
        <v>381</v>
      </c>
      <c r="P92" s="16"/>
    </row>
    <row r="93" spans="1:16" ht="40.049999999999997" customHeight="1" x14ac:dyDescent="0.3">
      <c r="A93" s="12" t="s">
        <v>89</v>
      </c>
      <c r="B93" s="13" t="s">
        <v>194</v>
      </c>
      <c r="C93" s="13" t="s">
        <v>198</v>
      </c>
      <c r="D93" s="14" t="s">
        <v>206</v>
      </c>
      <c r="E93" s="14" t="s">
        <v>213</v>
      </c>
      <c r="F93" s="15" t="s">
        <v>250</v>
      </c>
      <c r="G93" s="14" t="s">
        <v>303</v>
      </c>
      <c r="H93" s="13" t="s">
        <v>397</v>
      </c>
      <c r="I93" s="13" t="s">
        <v>397</v>
      </c>
      <c r="J93" s="13" t="s">
        <v>399</v>
      </c>
      <c r="K93" s="13" t="s">
        <v>403</v>
      </c>
      <c r="L93" s="13" t="s">
        <v>409</v>
      </c>
      <c r="M93" s="13">
        <v>3</v>
      </c>
      <c r="N93" s="13" t="s">
        <v>381</v>
      </c>
      <c r="O93" s="13" t="s">
        <v>412</v>
      </c>
      <c r="P93" s="16" t="s">
        <v>478</v>
      </c>
    </row>
    <row r="94" spans="1:16" ht="40.049999999999997" customHeight="1" x14ac:dyDescent="0.3">
      <c r="A94" s="12" t="s">
        <v>90</v>
      </c>
      <c r="B94" s="13" t="s">
        <v>192</v>
      </c>
      <c r="C94" s="13" t="s">
        <v>198</v>
      </c>
      <c r="D94" s="14" t="s">
        <v>202</v>
      </c>
      <c r="E94" s="14" t="s">
        <v>213</v>
      </c>
      <c r="F94" s="15" t="s">
        <v>239</v>
      </c>
      <c r="G94" s="14" t="s">
        <v>326</v>
      </c>
      <c r="H94" s="13" t="s">
        <v>394</v>
      </c>
      <c r="I94" s="13" t="s">
        <v>395</v>
      </c>
      <c r="J94" s="13" t="s">
        <v>395</v>
      </c>
      <c r="K94" s="13" t="s">
        <v>403</v>
      </c>
      <c r="L94" s="13" t="s">
        <v>409</v>
      </c>
      <c r="M94" s="13">
        <v>4</v>
      </c>
      <c r="N94" s="13" t="s">
        <v>381</v>
      </c>
      <c r="O94" s="13" t="s">
        <v>414</v>
      </c>
      <c r="P94" s="16" t="s">
        <v>426</v>
      </c>
    </row>
    <row r="95" spans="1:16" ht="40.049999999999997" customHeight="1" x14ac:dyDescent="0.3">
      <c r="A95" s="12" t="s">
        <v>91</v>
      </c>
      <c r="B95" s="13" t="s">
        <v>192</v>
      </c>
      <c r="C95" s="13" t="s">
        <v>199</v>
      </c>
      <c r="D95" s="14" t="s">
        <v>202</v>
      </c>
      <c r="E95" s="14" t="s">
        <v>212</v>
      </c>
      <c r="F95" s="15" t="s">
        <v>228</v>
      </c>
      <c r="G95" s="14" t="s">
        <v>327</v>
      </c>
      <c r="H95" s="13" t="s">
        <v>395</v>
      </c>
      <c r="I95" s="13" t="s">
        <v>395</v>
      </c>
      <c r="J95" s="13" t="s">
        <v>395</v>
      </c>
      <c r="K95" s="13" t="s">
        <v>402</v>
      </c>
      <c r="L95" s="13" t="s">
        <v>407</v>
      </c>
      <c r="M95" s="13">
        <v>5</v>
      </c>
      <c r="N95" s="13" t="s">
        <v>412</v>
      </c>
      <c r="O95" s="13" t="s">
        <v>414</v>
      </c>
      <c r="P95" s="16" t="s">
        <v>479</v>
      </c>
    </row>
    <row r="96" spans="1:16" ht="40.049999999999997" customHeight="1" x14ac:dyDescent="0.3">
      <c r="A96" s="12" t="s">
        <v>92</v>
      </c>
      <c r="B96" s="13" t="s">
        <v>192</v>
      </c>
      <c r="C96" s="13" t="s">
        <v>199</v>
      </c>
      <c r="D96" s="14" t="s">
        <v>202</v>
      </c>
      <c r="E96" s="14" t="s">
        <v>214</v>
      </c>
      <c r="F96" s="15" t="s">
        <v>239</v>
      </c>
      <c r="G96" s="14"/>
      <c r="H96" s="13" t="s">
        <v>395</v>
      </c>
      <c r="I96" s="13" t="s">
        <v>395</v>
      </c>
      <c r="J96" s="13" t="s">
        <v>395</v>
      </c>
      <c r="K96" s="13" t="s">
        <v>402</v>
      </c>
      <c r="L96" s="13" t="s">
        <v>409</v>
      </c>
      <c r="M96" s="13">
        <v>1</v>
      </c>
      <c r="N96" s="13" t="s">
        <v>381</v>
      </c>
      <c r="O96" s="13" t="s">
        <v>414</v>
      </c>
      <c r="P96" s="16" t="s">
        <v>464</v>
      </c>
    </row>
    <row r="97" spans="1:16" ht="40.049999999999997" customHeight="1" x14ac:dyDescent="0.3">
      <c r="A97" s="12" t="s">
        <v>93</v>
      </c>
      <c r="B97" s="13" t="s">
        <v>192</v>
      </c>
      <c r="C97" s="13" t="s">
        <v>198</v>
      </c>
      <c r="D97" s="14" t="s">
        <v>202</v>
      </c>
      <c r="E97" s="14" t="s">
        <v>213</v>
      </c>
      <c r="F97" s="15" t="s">
        <v>233</v>
      </c>
      <c r="G97" s="14" t="s">
        <v>328</v>
      </c>
      <c r="H97" s="13" t="s">
        <v>397</v>
      </c>
      <c r="I97" s="13" t="s">
        <v>397</v>
      </c>
      <c r="J97" s="13" t="s">
        <v>399</v>
      </c>
      <c r="K97" s="13" t="s">
        <v>403</v>
      </c>
      <c r="L97" s="13" t="s">
        <v>407</v>
      </c>
      <c r="M97" s="13">
        <v>4</v>
      </c>
      <c r="N97" s="13" t="s">
        <v>381</v>
      </c>
      <c r="O97" s="13" t="s">
        <v>381</v>
      </c>
      <c r="P97" s="16"/>
    </row>
    <row r="98" spans="1:16" ht="40.049999999999997" customHeight="1" x14ac:dyDescent="0.3">
      <c r="A98" s="12" t="s">
        <v>94</v>
      </c>
      <c r="B98" s="13" t="s">
        <v>192</v>
      </c>
      <c r="C98" s="13" t="s">
        <v>199</v>
      </c>
      <c r="D98" s="14" t="s">
        <v>202</v>
      </c>
      <c r="E98" s="14" t="s">
        <v>212</v>
      </c>
      <c r="F98" s="15" t="s">
        <v>222</v>
      </c>
      <c r="G98" s="14" t="s">
        <v>262</v>
      </c>
      <c r="H98" s="13" t="s">
        <v>394</v>
      </c>
      <c r="I98" s="13" t="s">
        <v>397</v>
      </c>
      <c r="J98" s="13" t="s">
        <v>395</v>
      </c>
      <c r="K98" s="13" t="s">
        <v>402</v>
      </c>
      <c r="L98" s="13" t="s">
        <v>409</v>
      </c>
      <c r="M98" s="13">
        <v>4</v>
      </c>
      <c r="N98" s="13" t="s">
        <v>412</v>
      </c>
      <c r="O98" s="13" t="s">
        <v>381</v>
      </c>
      <c r="P98" s="16" t="s">
        <v>480</v>
      </c>
    </row>
    <row r="99" spans="1:16" ht="40.049999999999997" customHeight="1" x14ac:dyDescent="0.3">
      <c r="A99" s="12" t="s">
        <v>95</v>
      </c>
      <c r="B99" s="13" t="s">
        <v>192</v>
      </c>
      <c r="C99" s="13" t="s">
        <v>199</v>
      </c>
      <c r="D99" s="14" t="s">
        <v>202</v>
      </c>
      <c r="E99" s="14" t="s">
        <v>212</v>
      </c>
      <c r="F99" s="15" t="s">
        <v>219</v>
      </c>
      <c r="G99" s="14" t="s">
        <v>329</v>
      </c>
      <c r="H99" s="13" t="s">
        <v>396</v>
      </c>
      <c r="I99" s="13" t="s">
        <v>399</v>
      </c>
      <c r="J99" s="13" t="s">
        <v>394</v>
      </c>
      <c r="K99" s="13" t="s">
        <v>402</v>
      </c>
      <c r="L99" s="13" t="s">
        <v>407</v>
      </c>
      <c r="M99" s="13">
        <v>4</v>
      </c>
      <c r="N99" s="13" t="s">
        <v>381</v>
      </c>
      <c r="O99" s="13" t="s">
        <v>381</v>
      </c>
      <c r="P99" s="16" t="s">
        <v>481</v>
      </c>
    </row>
    <row r="100" spans="1:16" ht="40.049999999999997" customHeight="1" x14ac:dyDescent="0.3">
      <c r="A100" s="12" t="s">
        <v>96</v>
      </c>
      <c r="B100" s="13" t="s">
        <v>192</v>
      </c>
      <c r="C100" s="13" t="s">
        <v>198</v>
      </c>
      <c r="D100" s="14" t="s">
        <v>202</v>
      </c>
      <c r="E100" s="14" t="s">
        <v>213</v>
      </c>
      <c r="F100" s="15" t="s">
        <v>237</v>
      </c>
      <c r="G100" s="14" t="s">
        <v>330</v>
      </c>
      <c r="H100" s="13" t="s">
        <v>394</v>
      </c>
      <c r="I100" s="13" t="s">
        <v>394</v>
      </c>
      <c r="J100" s="13" t="s">
        <v>395</v>
      </c>
      <c r="K100" s="13" t="s">
        <v>403</v>
      </c>
      <c r="L100" s="13" t="s">
        <v>408</v>
      </c>
      <c r="M100" s="13">
        <v>5</v>
      </c>
      <c r="N100" s="13" t="s">
        <v>412</v>
      </c>
      <c r="O100" s="13" t="s">
        <v>412</v>
      </c>
      <c r="P100" s="16" t="s">
        <v>482</v>
      </c>
    </row>
    <row r="101" spans="1:16" ht="40.049999999999997" customHeight="1" x14ac:dyDescent="0.3">
      <c r="A101" s="12" t="s">
        <v>97</v>
      </c>
      <c r="B101" s="13" t="s">
        <v>192</v>
      </c>
      <c r="C101" s="13" t="s">
        <v>199</v>
      </c>
      <c r="D101" s="14" t="s">
        <v>202</v>
      </c>
      <c r="E101" s="14" t="s">
        <v>211</v>
      </c>
      <c r="F101" s="15" t="s">
        <v>220</v>
      </c>
      <c r="G101" s="14" t="s">
        <v>331</v>
      </c>
      <c r="H101" s="13" t="s">
        <v>394</v>
      </c>
      <c r="I101" s="13" t="s">
        <v>397</v>
      </c>
      <c r="J101" s="13" t="s">
        <v>395</v>
      </c>
      <c r="K101" s="13" t="s">
        <v>402</v>
      </c>
      <c r="L101" s="13" t="s">
        <v>407</v>
      </c>
      <c r="M101" s="13">
        <v>5</v>
      </c>
      <c r="N101" s="13" t="s">
        <v>381</v>
      </c>
      <c r="O101" s="13" t="s">
        <v>412</v>
      </c>
      <c r="P101" s="16" t="s">
        <v>483</v>
      </c>
    </row>
    <row r="102" spans="1:16" ht="40.049999999999997" customHeight="1" x14ac:dyDescent="0.3">
      <c r="A102" s="12" t="s">
        <v>98</v>
      </c>
      <c r="B102" s="13" t="s">
        <v>192</v>
      </c>
      <c r="C102" s="13" t="s">
        <v>199</v>
      </c>
      <c r="D102" s="14" t="s">
        <v>202</v>
      </c>
      <c r="E102" s="14" t="s">
        <v>211</v>
      </c>
      <c r="F102" s="15" t="s">
        <v>239</v>
      </c>
      <c r="G102" s="14" t="s">
        <v>332</v>
      </c>
      <c r="H102" s="13" t="s">
        <v>397</v>
      </c>
      <c r="I102" s="13" t="s">
        <v>397</v>
      </c>
      <c r="J102" s="13" t="s">
        <v>397</v>
      </c>
      <c r="K102" s="13" t="s">
        <v>402</v>
      </c>
      <c r="L102" s="13" t="s">
        <v>407</v>
      </c>
      <c r="M102" s="13">
        <v>5</v>
      </c>
      <c r="N102" s="13" t="s">
        <v>412</v>
      </c>
      <c r="O102" s="13" t="s">
        <v>414</v>
      </c>
      <c r="P102" s="16" t="s">
        <v>484</v>
      </c>
    </row>
    <row r="103" spans="1:16" ht="40.049999999999997" customHeight="1" x14ac:dyDescent="0.3">
      <c r="A103" s="12" t="s">
        <v>99</v>
      </c>
      <c r="B103" s="13" t="s">
        <v>190</v>
      </c>
      <c r="C103" s="13" t="s">
        <v>199</v>
      </c>
      <c r="D103" s="14" t="s">
        <v>202</v>
      </c>
      <c r="E103" s="14" t="s">
        <v>211</v>
      </c>
      <c r="F103" s="15" t="s">
        <v>251</v>
      </c>
      <c r="G103" s="14"/>
      <c r="H103" s="13" t="s">
        <v>397</v>
      </c>
      <c r="I103" s="13" t="s">
        <v>395</v>
      </c>
      <c r="J103" s="13" t="s">
        <v>395</v>
      </c>
      <c r="K103" s="13" t="s">
        <v>402</v>
      </c>
      <c r="L103" s="13" t="s">
        <v>407</v>
      </c>
      <c r="M103" s="13">
        <v>5</v>
      </c>
      <c r="N103" s="13" t="s">
        <v>412</v>
      </c>
      <c r="O103" s="13" t="s">
        <v>414</v>
      </c>
      <c r="P103" s="16"/>
    </row>
    <row r="104" spans="1:16" ht="40.049999999999997" customHeight="1" x14ac:dyDescent="0.3">
      <c r="A104" s="12" t="s">
        <v>100</v>
      </c>
      <c r="B104" s="13" t="s">
        <v>194</v>
      </c>
      <c r="C104" s="13" t="s">
        <v>199</v>
      </c>
      <c r="D104" s="14" t="s">
        <v>201</v>
      </c>
      <c r="E104" s="14" t="s">
        <v>212</v>
      </c>
      <c r="F104" s="15" t="s">
        <v>242</v>
      </c>
      <c r="G104" s="14" t="s">
        <v>268</v>
      </c>
      <c r="H104" s="13" t="s">
        <v>395</v>
      </c>
      <c r="I104" s="13" t="s">
        <v>397</v>
      </c>
      <c r="J104" s="13" t="s">
        <v>399</v>
      </c>
      <c r="K104" s="13" t="s">
        <v>405</v>
      </c>
      <c r="L104" s="13" t="s">
        <v>409</v>
      </c>
      <c r="M104" s="13">
        <v>3</v>
      </c>
      <c r="N104" s="13" t="s">
        <v>381</v>
      </c>
      <c r="O104" s="13" t="s">
        <v>381</v>
      </c>
      <c r="P104" s="16" t="s">
        <v>485</v>
      </c>
    </row>
    <row r="105" spans="1:16" ht="40.049999999999997" customHeight="1" x14ac:dyDescent="0.3">
      <c r="A105" s="12" t="s">
        <v>101</v>
      </c>
      <c r="B105" s="13" t="s">
        <v>192</v>
      </c>
      <c r="C105" s="13" t="s">
        <v>199</v>
      </c>
      <c r="D105" s="14" t="s">
        <v>202</v>
      </c>
      <c r="E105" s="14" t="s">
        <v>213</v>
      </c>
      <c r="F105" s="15" t="s">
        <v>234</v>
      </c>
      <c r="G105" s="14" t="s">
        <v>333</v>
      </c>
      <c r="H105" s="13" t="s">
        <v>395</v>
      </c>
      <c r="I105" s="13" t="s">
        <v>397</v>
      </c>
      <c r="J105" s="13" t="s">
        <v>395</v>
      </c>
      <c r="K105" s="13" t="s">
        <v>405</v>
      </c>
      <c r="L105" s="13" t="s">
        <v>409</v>
      </c>
      <c r="M105" s="13">
        <v>4</v>
      </c>
      <c r="N105" s="13" t="s">
        <v>412</v>
      </c>
      <c r="O105" s="13" t="s">
        <v>414</v>
      </c>
      <c r="P105" s="16" t="s">
        <v>486</v>
      </c>
    </row>
    <row r="106" spans="1:16" ht="40.049999999999997" customHeight="1" x14ac:dyDescent="0.3">
      <c r="A106" s="12" t="s">
        <v>102</v>
      </c>
      <c r="B106" s="13" t="s">
        <v>194</v>
      </c>
      <c r="C106" s="13" t="s">
        <v>199</v>
      </c>
      <c r="D106" s="14" t="s">
        <v>201</v>
      </c>
      <c r="E106" s="14" t="s">
        <v>211</v>
      </c>
      <c r="F106" s="15" t="s">
        <v>234</v>
      </c>
      <c r="G106" s="14" t="s">
        <v>334</v>
      </c>
      <c r="H106" s="13" t="s">
        <v>394</v>
      </c>
      <c r="I106" s="13" t="s">
        <v>394</v>
      </c>
      <c r="J106" s="13" t="s">
        <v>397</v>
      </c>
      <c r="K106" s="13" t="s">
        <v>402</v>
      </c>
      <c r="L106" s="13" t="s">
        <v>407</v>
      </c>
      <c r="M106" s="13">
        <v>4</v>
      </c>
      <c r="N106" s="13" t="s">
        <v>412</v>
      </c>
      <c r="O106" s="13" t="s">
        <v>381</v>
      </c>
      <c r="P106" s="16" t="s">
        <v>487</v>
      </c>
    </row>
    <row r="107" spans="1:16" ht="40.049999999999997" customHeight="1" x14ac:dyDescent="0.3">
      <c r="A107" s="12" t="s">
        <v>103</v>
      </c>
      <c r="B107" s="13" t="s">
        <v>192</v>
      </c>
      <c r="C107" s="13" t="s">
        <v>199</v>
      </c>
      <c r="D107" s="14" t="s">
        <v>202</v>
      </c>
      <c r="E107" s="14" t="s">
        <v>211</v>
      </c>
      <c r="F107" s="15" t="s">
        <v>218</v>
      </c>
      <c r="G107" s="14" t="s">
        <v>335</v>
      </c>
      <c r="H107" s="13" t="s">
        <v>397</v>
      </c>
      <c r="I107" s="13" t="s">
        <v>397</v>
      </c>
      <c r="J107" s="13" t="s">
        <v>399</v>
      </c>
      <c r="K107" s="13" t="s">
        <v>403</v>
      </c>
      <c r="L107" s="13" t="s">
        <v>409</v>
      </c>
      <c r="M107" s="13">
        <v>2</v>
      </c>
      <c r="N107" s="13" t="s">
        <v>412</v>
      </c>
      <c r="O107" s="13" t="s">
        <v>381</v>
      </c>
      <c r="P107" s="16" t="s">
        <v>488</v>
      </c>
    </row>
    <row r="108" spans="1:16" ht="40.049999999999997" customHeight="1" x14ac:dyDescent="0.3">
      <c r="A108" s="12" t="s">
        <v>104</v>
      </c>
      <c r="B108" s="13" t="s">
        <v>192</v>
      </c>
      <c r="C108" s="13" t="s">
        <v>199</v>
      </c>
      <c r="D108" s="14" t="s">
        <v>202</v>
      </c>
      <c r="E108" s="14" t="s">
        <v>213</v>
      </c>
      <c r="F108" s="15" t="s">
        <v>218</v>
      </c>
      <c r="G108" s="14" t="s">
        <v>336</v>
      </c>
      <c r="H108" s="13" t="s">
        <v>397</v>
      </c>
      <c r="I108" s="13" t="s">
        <v>394</v>
      </c>
      <c r="J108" s="13" t="s">
        <v>394</v>
      </c>
      <c r="K108" s="13" t="s">
        <v>402</v>
      </c>
      <c r="L108" s="13" t="s">
        <v>407</v>
      </c>
      <c r="M108" s="13">
        <v>4</v>
      </c>
      <c r="N108" s="13" t="s">
        <v>412</v>
      </c>
      <c r="O108" s="13" t="s">
        <v>414</v>
      </c>
      <c r="P108" s="16" t="s">
        <v>489</v>
      </c>
    </row>
    <row r="109" spans="1:16" ht="40.049999999999997" customHeight="1" x14ac:dyDescent="0.3">
      <c r="A109" s="12" t="s">
        <v>105</v>
      </c>
      <c r="B109" s="13" t="s">
        <v>190</v>
      </c>
      <c r="C109" s="13" t="s">
        <v>199</v>
      </c>
      <c r="D109" s="14" t="s">
        <v>202</v>
      </c>
      <c r="E109" s="14" t="s">
        <v>213</v>
      </c>
      <c r="F109" s="15" t="s">
        <v>223</v>
      </c>
      <c r="G109" s="14" t="s">
        <v>337</v>
      </c>
      <c r="H109" s="13" t="s">
        <v>395</v>
      </c>
      <c r="I109" s="13" t="s">
        <v>399</v>
      </c>
      <c r="J109" s="13" t="s">
        <v>399</v>
      </c>
      <c r="K109" s="13" t="s">
        <v>404</v>
      </c>
      <c r="L109" s="13" t="s">
        <v>409</v>
      </c>
      <c r="M109" s="13">
        <v>4</v>
      </c>
      <c r="N109" s="13" t="s">
        <v>381</v>
      </c>
      <c r="O109" s="13" t="s">
        <v>414</v>
      </c>
      <c r="P109" s="16" t="s">
        <v>490</v>
      </c>
    </row>
    <row r="110" spans="1:16" ht="40.049999999999997" customHeight="1" x14ac:dyDescent="0.3">
      <c r="A110" s="12" t="s">
        <v>106</v>
      </c>
      <c r="B110" s="13" t="s">
        <v>190</v>
      </c>
      <c r="C110" s="13" t="s">
        <v>199</v>
      </c>
      <c r="D110" s="14" t="s">
        <v>202</v>
      </c>
      <c r="E110" s="14" t="s">
        <v>212</v>
      </c>
      <c r="F110" s="15" t="s">
        <v>218</v>
      </c>
      <c r="G110" s="14" t="s">
        <v>338</v>
      </c>
      <c r="H110" s="13" t="s">
        <v>394</v>
      </c>
      <c r="I110" s="13" t="s">
        <v>399</v>
      </c>
      <c r="J110" s="13" t="s">
        <v>397</v>
      </c>
      <c r="K110" s="13" t="s">
        <v>404</v>
      </c>
      <c r="L110" s="13" t="s">
        <v>409</v>
      </c>
      <c r="M110" s="13">
        <v>3</v>
      </c>
      <c r="N110" s="13" t="s">
        <v>381</v>
      </c>
      <c r="O110" s="13" t="s">
        <v>414</v>
      </c>
      <c r="P110" s="16" t="s">
        <v>491</v>
      </c>
    </row>
    <row r="111" spans="1:16" ht="40.049999999999997" customHeight="1" x14ac:dyDescent="0.3">
      <c r="A111" s="12" t="s">
        <v>107</v>
      </c>
      <c r="B111" s="13" t="s">
        <v>192</v>
      </c>
      <c r="C111" s="13" t="s">
        <v>199</v>
      </c>
      <c r="D111" s="14" t="s">
        <v>202</v>
      </c>
      <c r="E111" s="14" t="s">
        <v>212</v>
      </c>
      <c r="F111" s="15" t="s">
        <v>218</v>
      </c>
      <c r="G111" s="14" t="s">
        <v>339</v>
      </c>
      <c r="H111" s="13" t="s">
        <v>395</v>
      </c>
      <c r="I111" s="13" t="s">
        <v>395</v>
      </c>
      <c r="J111" s="13" t="s">
        <v>395</v>
      </c>
      <c r="K111" s="13" t="s">
        <v>402</v>
      </c>
      <c r="L111" s="13" t="s">
        <v>407</v>
      </c>
      <c r="M111" s="13">
        <v>3</v>
      </c>
      <c r="N111" s="13" t="s">
        <v>412</v>
      </c>
      <c r="O111" s="13" t="s">
        <v>412</v>
      </c>
      <c r="P111" s="16" t="s">
        <v>492</v>
      </c>
    </row>
    <row r="112" spans="1:16" ht="40.049999999999997" customHeight="1" x14ac:dyDescent="0.3">
      <c r="A112" s="12" t="s">
        <v>108</v>
      </c>
      <c r="B112" s="13" t="s">
        <v>192</v>
      </c>
      <c r="C112" s="13" t="s">
        <v>199</v>
      </c>
      <c r="D112" s="14" t="s">
        <v>202</v>
      </c>
      <c r="E112" s="14" t="s">
        <v>212</v>
      </c>
      <c r="F112" s="15" t="s">
        <v>221</v>
      </c>
      <c r="G112" s="14" t="s">
        <v>340</v>
      </c>
      <c r="H112" s="13" t="s">
        <v>396</v>
      </c>
      <c r="I112" s="13" t="s">
        <v>395</v>
      </c>
      <c r="J112" s="13" t="s">
        <v>397</v>
      </c>
      <c r="K112" s="13" t="s">
        <v>403</v>
      </c>
      <c r="L112" s="13" t="s">
        <v>409</v>
      </c>
      <c r="M112" s="13">
        <v>4</v>
      </c>
      <c r="N112" s="13" t="s">
        <v>381</v>
      </c>
      <c r="O112" s="13" t="s">
        <v>381</v>
      </c>
      <c r="P112" s="16"/>
    </row>
    <row r="113" spans="1:16" ht="40.049999999999997" customHeight="1" x14ac:dyDescent="0.3">
      <c r="A113" s="12" t="s">
        <v>109</v>
      </c>
      <c r="B113" s="13" t="s">
        <v>193</v>
      </c>
      <c r="C113" s="13" t="s">
        <v>199</v>
      </c>
      <c r="D113" s="14" t="s">
        <v>201</v>
      </c>
      <c r="E113" s="14" t="s">
        <v>212</v>
      </c>
      <c r="F113" s="15" t="s">
        <v>234</v>
      </c>
      <c r="G113" s="14" t="s">
        <v>341</v>
      </c>
      <c r="H113" s="13" t="s">
        <v>396</v>
      </c>
      <c r="I113" s="13" t="s">
        <v>397</v>
      </c>
      <c r="J113" s="13" t="s">
        <v>397</v>
      </c>
      <c r="K113" s="13" t="s">
        <v>402</v>
      </c>
      <c r="L113" s="13" t="s">
        <v>409</v>
      </c>
      <c r="M113" s="13">
        <v>4</v>
      </c>
      <c r="N113" s="13" t="s">
        <v>381</v>
      </c>
      <c r="O113" s="13" t="s">
        <v>381</v>
      </c>
      <c r="P113" s="16"/>
    </row>
    <row r="114" spans="1:16" ht="40.049999999999997" customHeight="1" x14ac:dyDescent="0.3">
      <c r="A114" s="12" t="s">
        <v>110</v>
      </c>
      <c r="B114" s="13" t="s">
        <v>190</v>
      </c>
      <c r="C114" s="13" t="s">
        <v>199</v>
      </c>
      <c r="D114" s="14" t="s">
        <v>202</v>
      </c>
      <c r="E114" s="14" t="s">
        <v>213</v>
      </c>
      <c r="F114" s="15" t="s">
        <v>218</v>
      </c>
      <c r="G114" s="14" t="s">
        <v>342</v>
      </c>
      <c r="H114" s="13" t="s">
        <v>394</v>
      </c>
      <c r="I114" s="13" t="s">
        <v>399</v>
      </c>
      <c r="J114" s="13" t="s">
        <v>394</v>
      </c>
      <c r="K114" s="13" t="s">
        <v>403</v>
      </c>
      <c r="L114" s="13" t="s">
        <v>408</v>
      </c>
      <c r="M114" s="13">
        <v>3</v>
      </c>
      <c r="N114" s="13" t="s">
        <v>381</v>
      </c>
      <c r="O114" s="13" t="s">
        <v>381</v>
      </c>
      <c r="P114" s="16" t="s">
        <v>493</v>
      </c>
    </row>
    <row r="115" spans="1:16" ht="40.049999999999997" customHeight="1" x14ac:dyDescent="0.3">
      <c r="A115" s="12" t="s">
        <v>111</v>
      </c>
      <c r="B115" s="13" t="s">
        <v>192</v>
      </c>
      <c r="C115" s="13" t="s">
        <v>199</v>
      </c>
      <c r="D115" s="14" t="s">
        <v>202</v>
      </c>
      <c r="E115" s="14" t="s">
        <v>213</v>
      </c>
      <c r="F115" s="15" t="s">
        <v>218</v>
      </c>
      <c r="G115" s="14" t="s">
        <v>262</v>
      </c>
      <c r="H115" s="13" t="s">
        <v>396</v>
      </c>
      <c r="I115" s="13" t="s">
        <v>397</v>
      </c>
      <c r="J115" s="13" t="s">
        <v>394</v>
      </c>
      <c r="K115" s="13" t="s">
        <v>402</v>
      </c>
      <c r="L115" s="13" t="s">
        <v>407</v>
      </c>
      <c r="M115" s="13">
        <v>5</v>
      </c>
      <c r="N115" s="13" t="s">
        <v>381</v>
      </c>
      <c r="O115" s="13" t="s">
        <v>381</v>
      </c>
      <c r="P115" s="16" t="s">
        <v>494</v>
      </c>
    </row>
    <row r="116" spans="1:16" ht="40.049999999999997" customHeight="1" x14ac:dyDescent="0.3">
      <c r="A116" s="12" t="s">
        <v>112</v>
      </c>
      <c r="B116" s="13" t="s">
        <v>192</v>
      </c>
      <c r="C116" s="13" t="s">
        <v>199</v>
      </c>
      <c r="D116" s="14" t="s">
        <v>202</v>
      </c>
      <c r="E116" s="14" t="s">
        <v>211</v>
      </c>
      <c r="F116" s="15" t="s">
        <v>219</v>
      </c>
      <c r="G116" s="14" t="s">
        <v>343</v>
      </c>
      <c r="H116" s="13" t="s">
        <v>396</v>
      </c>
      <c r="I116" s="13" t="s">
        <v>399</v>
      </c>
      <c r="J116" s="13" t="s">
        <v>397</v>
      </c>
      <c r="K116" s="13" t="s">
        <v>402</v>
      </c>
      <c r="L116" s="13" t="s">
        <v>407</v>
      </c>
      <c r="M116" s="13">
        <v>4</v>
      </c>
      <c r="N116" s="13" t="s">
        <v>412</v>
      </c>
      <c r="O116" s="13" t="s">
        <v>414</v>
      </c>
      <c r="P116" s="16" t="s">
        <v>495</v>
      </c>
    </row>
    <row r="117" spans="1:16" ht="40.049999999999997" customHeight="1" x14ac:dyDescent="0.3">
      <c r="A117" s="12" t="s">
        <v>113</v>
      </c>
      <c r="B117" s="13" t="s">
        <v>190</v>
      </c>
      <c r="C117" s="13" t="s">
        <v>199</v>
      </c>
      <c r="D117" s="14" t="s">
        <v>202</v>
      </c>
      <c r="E117" s="14" t="s">
        <v>214</v>
      </c>
      <c r="F117" s="15" t="s">
        <v>234</v>
      </c>
      <c r="G117" s="14" t="s">
        <v>262</v>
      </c>
      <c r="H117" s="13" t="s">
        <v>395</v>
      </c>
      <c r="I117" s="13" t="s">
        <v>399</v>
      </c>
      <c r="J117" s="13" t="s">
        <v>394</v>
      </c>
      <c r="K117" s="13" t="s">
        <v>405</v>
      </c>
      <c r="L117" s="13" t="s">
        <v>409</v>
      </c>
      <c r="M117" s="13">
        <v>3</v>
      </c>
      <c r="N117" s="13" t="s">
        <v>412</v>
      </c>
      <c r="O117" s="13" t="s">
        <v>412</v>
      </c>
      <c r="P117" s="16" t="s">
        <v>496</v>
      </c>
    </row>
    <row r="118" spans="1:16" ht="40.049999999999997" customHeight="1" x14ac:dyDescent="0.3">
      <c r="A118" s="12" t="s">
        <v>114</v>
      </c>
      <c r="B118" s="13" t="s">
        <v>190</v>
      </c>
      <c r="C118" s="13" t="s">
        <v>198</v>
      </c>
      <c r="D118" s="14" t="s">
        <v>202</v>
      </c>
      <c r="E118" s="14" t="s">
        <v>212</v>
      </c>
      <c r="F118" s="15" t="s">
        <v>218</v>
      </c>
      <c r="G118" s="14" t="s">
        <v>344</v>
      </c>
      <c r="H118" s="13" t="s">
        <v>396</v>
      </c>
      <c r="I118" s="13" t="s">
        <v>395</v>
      </c>
      <c r="J118" s="13" t="s">
        <v>395</v>
      </c>
      <c r="K118" s="13" t="s">
        <v>405</v>
      </c>
      <c r="L118" s="13" t="s">
        <v>407</v>
      </c>
      <c r="M118" s="13">
        <v>3</v>
      </c>
      <c r="N118" s="13" t="s">
        <v>381</v>
      </c>
      <c r="O118" s="13" t="s">
        <v>414</v>
      </c>
      <c r="P118" s="16" t="s">
        <v>497</v>
      </c>
    </row>
    <row r="119" spans="1:16" ht="40.049999999999997" customHeight="1" x14ac:dyDescent="0.3">
      <c r="A119" s="12" t="s">
        <v>115</v>
      </c>
      <c r="B119" s="13" t="s">
        <v>192</v>
      </c>
      <c r="C119" s="13" t="s">
        <v>199</v>
      </c>
      <c r="D119" s="14" t="s">
        <v>202</v>
      </c>
      <c r="E119" s="14" t="s">
        <v>213</v>
      </c>
      <c r="F119" s="15" t="s">
        <v>226</v>
      </c>
      <c r="G119" s="14"/>
      <c r="H119" s="13" t="s">
        <v>394</v>
      </c>
      <c r="I119" s="13" t="s">
        <v>397</v>
      </c>
      <c r="J119" s="13" t="s">
        <v>399</v>
      </c>
      <c r="K119" s="13" t="s">
        <v>403</v>
      </c>
      <c r="L119" s="13" t="s">
        <v>407</v>
      </c>
      <c r="M119" s="13">
        <v>4</v>
      </c>
      <c r="N119" s="13" t="s">
        <v>381</v>
      </c>
      <c r="O119" s="13" t="s">
        <v>414</v>
      </c>
      <c r="P119" s="16" t="s">
        <v>498</v>
      </c>
    </row>
    <row r="120" spans="1:16" ht="40.049999999999997" customHeight="1" x14ac:dyDescent="0.3">
      <c r="A120" s="12" t="s">
        <v>116</v>
      </c>
      <c r="B120" s="13" t="s">
        <v>192</v>
      </c>
      <c r="C120" s="13" t="s">
        <v>198</v>
      </c>
      <c r="D120" s="14" t="s">
        <v>202</v>
      </c>
      <c r="E120" s="14" t="s">
        <v>212</v>
      </c>
      <c r="F120" s="15" t="s">
        <v>252</v>
      </c>
      <c r="G120" s="14" t="s">
        <v>345</v>
      </c>
      <c r="H120" s="13" t="s">
        <v>395</v>
      </c>
      <c r="I120" s="13" t="s">
        <v>395</v>
      </c>
      <c r="J120" s="13" t="s">
        <v>395</v>
      </c>
      <c r="K120" s="13" t="s">
        <v>404</v>
      </c>
      <c r="L120" s="13" t="s">
        <v>407</v>
      </c>
      <c r="M120" s="13">
        <v>5</v>
      </c>
      <c r="N120" s="13" t="s">
        <v>412</v>
      </c>
      <c r="O120" s="13" t="s">
        <v>414</v>
      </c>
      <c r="P120" s="16" t="s">
        <v>499</v>
      </c>
    </row>
    <row r="121" spans="1:16" ht="40.049999999999997" customHeight="1" x14ac:dyDescent="0.3">
      <c r="A121" s="12" t="s">
        <v>117</v>
      </c>
      <c r="B121" s="13" t="s">
        <v>192</v>
      </c>
      <c r="C121" s="13" t="s">
        <v>198</v>
      </c>
      <c r="D121" s="14" t="s">
        <v>207</v>
      </c>
      <c r="E121" s="14" t="s">
        <v>211</v>
      </c>
      <c r="F121" s="15" t="s">
        <v>223</v>
      </c>
      <c r="G121" s="14" t="s">
        <v>346</v>
      </c>
      <c r="H121" s="13" t="s">
        <v>394</v>
      </c>
      <c r="I121" s="13" t="s">
        <v>397</v>
      </c>
      <c r="J121" s="13" t="s">
        <v>397</v>
      </c>
      <c r="K121" s="13" t="s">
        <v>403</v>
      </c>
      <c r="L121" s="13" t="s">
        <v>407</v>
      </c>
      <c r="M121" s="13">
        <v>5</v>
      </c>
      <c r="N121" s="13" t="s">
        <v>381</v>
      </c>
      <c r="O121" s="13" t="s">
        <v>414</v>
      </c>
      <c r="P121" s="16" t="s">
        <v>500</v>
      </c>
    </row>
    <row r="122" spans="1:16" ht="40.049999999999997" customHeight="1" x14ac:dyDescent="0.3">
      <c r="A122" s="12" t="s">
        <v>118</v>
      </c>
      <c r="B122" s="13" t="s">
        <v>192</v>
      </c>
      <c r="C122" s="13" t="s">
        <v>199</v>
      </c>
      <c r="D122" s="14" t="s">
        <v>202</v>
      </c>
      <c r="E122" s="14" t="s">
        <v>212</v>
      </c>
      <c r="F122" s="15" t="s">
        <v>253</v>
      </c>
      <c r="G122" s="14" t="s">
        <v>305</v>
      </c>
      <c r="H122" s="13" t="s">
        <v>397</v>
      </c>
      <c r="I122" s="13" t="s">
        <v>399</v>
      </c>
      <c r="J122" s="13" t="s">
        <v>399</v>
      </c>
      <c r="K122" s="13" t="s">
        <v>402</v>
      </c>
      <c r="L122" s="13" t="s">
        <v>407</v>
      </c>
      <c r="M122" s="13">
        <v>4</v>
      </c>
      <c r="N122" s="13" t="s">
        <v>381</v>
      </c>
      <c r="O122" s="13" t="s">
        <v>381</v>
      </c>
      <c r="P122" s="16" t="s">
        <v>501</v>
      </c>
    </row>
    <row r="123" spans="1:16" ht="40.049999999999997" customHeight="1" x14ac:dyDescent="0.3">
      <c r="A123" s="12" t="s">
        <v>119</v>
      </c>
      <c r="B123" s="13" t="s">
        <v>192</v>
      </c>
      <c r="C123" s="13" t="s">
        <v>199</v>
      </c>
      <c r="D123" s="14" t="s">
        <v>202</v>
      </c>
      <c r="E123" s="14" t="s">
        <v>213</v>
      </c>
      <c r="F123" s="15" t="s">
        <v>218</v>
      </c>
      <c r="G123" s="14"/>
      <c r="H123" s="13" t="s">
        <v>396</v>
      </c>
      <c r="I123" s="13" t="s">
        <v>397</v>
      </c>
      <c r="J123" s="13" t="s">
        <v>397</v>
      </c>
      <c r="K123" s="13" t="s">
        <v>404</v>
      </c>
      <c r="L123" s="13" t="s">
        <v>409</v>
      </c>
      <c r="M123" s="13">
        <v>3</v>
      </c>
      <c r="N123" s="13" t="s">
        <v>381</v>
      </c>
      <c r="O123" s="13" t="s">
        <v>381</v>
      </c>
      <c r="P123" s="16"/>
    </row>
    <row r="124" spans="1:16" ht="40.049999999999997" customHeight="1" x14ac:dyDescent="0.3">
      <c r="A124" s="12" t="s">
        <v>120</v>
      </c>
      <c r="B124" s="13" t="s">
        <v>192</v>
      </c>
      <c r="C124" s="13" t="s">
        <v>199</v>
      </c>
      <c r="D124" s="14" t="s">
        <v>202</v>
      </c>
      <c r="E124" s="14" t="s">
        <v>213</v>
      </c>
      <c r="F124" s="15" t="s">
        <v>224</v>
      </c>
      <c r="G124" s="14" t="s">
        <v>347</v>
      </c>
      <c r="H124" s="13" t="s">
        <v>396</v>
      </c>
      <c r="I124" s="13" t="s">
        <v>397</v>
      </c>
      <c r="J124" s="13" t="s">
        <v>397</v>
      </c>
      <c r="K124" s="13" t="s">
        <v>404</v>
      </c>
      <c r="L124" s="13" t="s">
        <v>408</v>
      </c>
      <c r="M124" s="13">
        <v>2</v>
      </c>
      <c r="N124" s="13" t="s">
        <v>381</v>
      </c>
      <c r="O124" s="13" t="s">
        <v>414</v>
      </c>
      <c r="P124" s="16" t="s">
        <v>502</v>
      </c>
    </row>
    <row r="125" spans="1:16" ht="40.049999999999997" customHeight="1" x14ac:dyDescent="0.3">
      <c r="A125" s="12" t="s">
        <v>121</v>
      </c>
      <c r="B125" s="13" t="s">
        <v>192</v>
      </c>
      <c r="C125" s="13" t="s">
        <v>199</v>
      </c>
      <c r="D125" s="14" t="s">
        <v>202</v>
      </c>
      <c r="E125" s="14" t="s">
        <v>213</v>
      </c>
      <c r="F125" s="15" t="s">
        <v>251</v>
      </c>
      <c r="G125" s="14" t="s">
        <v>348</v>
      </c>
      <c r="H125" s="13" t="s">
        <v>396</v>
      </c>
      <c r="I125" s="13" t="s">
        <v>394</v>
      </c>
      <c r="J125" s="13" t="s">
        <v>397</v>
      </c>
      <c r="K125" s="13" t="s">
        <v>402</v>
      </c>
      <c r="L125" s="13" t="s">
        <v>409</v>
      </c>
      <c r="M125" s="13">
        <v>4</v>
      </c>
      <c r="N125" s="13" t="s">
        <v>412</v>
      </c>
      <c r="O125" s="13" t="s">
        <v>414</v>
      </c>
      <c r="P125" s="16" t="s">
        <v>503</v>
      </c>
    </row>
    <row r="126" spans="1:16" ht="40.049999999999997" customHeight="1" x14ac:dyDescent="0.3">
      <c r="A126" s="12" t="s">
        <v>122</v>
      </c>
      <c r="B126" s="13" t="s">
        <v>192</v>
      </c>
      <c r="C126" s="13" t="s">
        <v>199</v>
      </c>
      <c r="D126" s="14" t="s">
        <v>202</v>
      </c>
      <c r="E126" s="14" t="s">
        <v>211</v>
      </c>
      <c r="F126" s="15" t="s">
        <v>224</v>
      </c>
      <c r="G126" s="14" t="s">
        <v>349</v>
      </c>
      <c r="H126" s="13" t="s">
        <v>395</v>
      </c>
      <c r="I126" s="13" t="s">
        <v>397</v>
      </c>
      <c r="J126" s="13" t="s">
        <v>399</v>
      </c>
      <c r="K126" s="13" t="s">
        <v>405</v>
      </c>
      <c r="L126" s="13" t="s">
        <v>407</v>
      </c>
      <c r="M126" s="13">
        <v>3</v>
      </c>
      <c r="N126" s="13" t="s">
        <v>381</v>
      </c>
      <c r="O126" s="13" t="s">
        <v>381</v>
      </c>
      <c r="P126" s="16" t="s">
        <v>504</v>
      </c>
    </row>
    <row r="127" spans="1:16" ht="40.049999999999997" customHeight="1" x14ac:dyDescent="0.3">
      <c r="A127" s="12" t="s">
        <v>123</v>
      </c>
      <c r="B127" s="13" t="s">
        <v>192</v>
      </c>
      <c r="C127" s="13" t="s">
        <v>199</v>
      </c>
      <c r="D127" s="14" t="s">
        <v>202</v>
      </c>
      <c r="E127" s="14" t="s">
        <v>212</v>
      </c>
      <c r="F127" s="15" t="s">
        <v>223</v>
      </c>
      <c r="G127" s="14" t="s">
        <v>350</v>
      </c>
      <c r="H127" s="13" t="s">
        <v>394</v>
      </c>
      <c r="I127" s="13" t="s">
        <v>397</v>
      </c>
      <c r="J127" s="13" t="s">
        <v>397</v>
      </c>
      <c r="K127" s="13" t="s">
        <v>402</v>
      </c>
      <c r="L127" s="13" t="s">
        <v>407</v>
      </c>
      <c r="M127" s="13">
        <v>4</v>
      </c>
      <c r="N127" s="13" t="s">
        <v>412</v>
      </c>
      <c r="O127" s="13" t="s">
        <v>414</v>
      </c>
      <c r="P127" s="16" t="s">
        <v>505</v>
      </c>
    </row>
    <row r="128" spans="1:16" ht="40.049999999999997" customHeight="1" x14ac:dyDescent="0.3">
      <c r="A128" s="12" t="s">
        <v>124</v>
      </c>
      <c r="B128" s="13" t="s">
        <v>192</v>
      </c>
      <c r="C128" s="13" t="s">
        <v>199</v>
      </c>
      <c r="D128" s="14" t="s">
        <v>202</v>
      </c>
      <c r="E128" s="14" t="s">
        <v>213</v>
      </c>
      <c r="F128" s="15" t="s">
        <v>218</v>
      </c>
      <c r="G128" s="14" t="s">
        <v>351</v>
      </c>
      <c r="H128" s="13" t="s">
        <v>394</v>
      </c>
      <c r="I128" s="13" t="s">
        <v>394</v>
      </c>
      <c r="J128" s="13" t="s">
        <v>397</v>
      </c>
      <c r="K128" s="13" t="s">
        <v>403</v>
      </c>
      <c r="L128" s="13" t="s">
        <v>407</v>
      </c>
      <c r="M128" s="13">
        <v>3</v>
      </c>
      <c r="N128" s="13" t="s">
        <v>381</v>
      </c>
      <c r="O128" s="13" t="s">
        <v>381</v>
      </c>
      <c r="P128" s="16" t="s">
        <v>506</v>
      </c>
    </row>
    <row r="129" spans="1:16" ht="40.049999999999997" customHeight="1" x14ac:dyDescent="0.3">
      <c r="A129" s="12" t="s">
        <v>125</v>
      </c>
      <c r="B129" s="13" t="s">
        <v>190</v>
      </c>
      <c r="C129" s="13" t="s">
        <v>199</v>
      </c>
      <c r="D129" s="14" t="s">
        <v>202</v>
      </c>
      <c r="E129" s="14" t="s">
        <v>211</v>
      </c>
      <c r="F129" s="15" t="s">
        <v>207</v>
      </c>
      <c r="G129" s="14" t="s">
        <v>352</v>
      </c>
      <c r="H129" s="13" t="s">
        <v>395</v>
      </c>
      <c r="I129" s="13" t="s">
        <v>395</v>
      </c>
      <c r="J129" s="13" t="s">
        <v>397</v>
      </c>
      <c r="K129" s="13" t="s">
        <v>402</v>
      </c>
      <c r="L129" s="13" t="s">
        <v>409</v>
      </c>
      <c r="M129" s="13">
        <v>1</v>
      </c>
      <c r="N129" s="13" t="s">
        <v>381</v>
      </c>
      <c r="O129" s="13" t="s">
        <v>381</v>
      </c>
      <c r="P129" s="16" t="s">
        <v>507</v>
      </c>
    </row>
    <row r="130" spans="1:16" ht="40.049999999999997" customHeight="1" x14ac:dyDescent="0.3">
      <c r="A130" s="12" t="s">
        <v>126</v>
      </c>
      <c r="B130" s="13" t="s">
        <v>194</v>
      </c>
      <c r="C130" s="13" t="s">
        <v>199</v>
      </c>
      <c r="D130" s="14" t="s">
        <v>202</v>
      </c>
      <c r="E130" s="14" t="s">
        <v>211</v>
      </c>
      <c r="F130" s="15" t="s">
        <v>219</v>
      </c>
      <c r="G130" s="14" t="s">
        <v>262</v>
      </c>
      <c r="H130" s="13" t="s">
        <v>396</v>
      </c>
      <c r="I130" s="13" t="s">
        <v>395</v>
      </c>
      <c r="J130" s="13" t="s">
        <v>395</v>
      </c>
      <c r="K130" s="13" t="s">
        <v>404</v>
      </c>
      <c r="L130" s="13" t="s">
        <v>407</v>
      </c>
      <c r="M130" s="13">
        <v>5</v>
      </c>
      <c r="N130" s="13" t="s">
        <v>381</v>
      </c>
      <c r="O130" s="13" t="s">
        <v>381</v>
      </c>
      <c r="P130" s="16" t="s">
        <v>508</v>
      </c>
    </row>
    <row r="131" spans="1:16" ht="40.049999999999997" customHeight="1" x14ac:dyDescent="0.3">
      <c r="A131" s="12" t="s">
        <v>127</v>
      </c>
      <c r="B131" s="13" t="s">
        <v>192</v>
      </c>
      <c r="C131" s="13" t="s">
        <v>199</v>
      </c>
      <c r="D131" s="14" t="s">
        <v>201</v>
      </c>
      <c r="E131" s="14" t="s">
        <v>213</v>
      </c>
      <c r="F131" s="15" t="s">
        <v>219</v>
      </c>
      <c r="G131" s="14" t="s">
        <v>353</v>
      </c>
      <c r="H131" s="13" t="s">
        <v>394</v>
      </c>
      <c r="I131" s="13" t="s">
        <v>394</v>
      </c>
      <c r="J131" s="13" t="s">
        <v>394</v>
      </c>
      <c r="K131" s="13" t="s">
        <v>402</v>
      </c>
      <c r="L131" s="13" t="s">
        <v>407</v>
      </c>
      <c r="M131" s="13">
        <v>5</v>
      </c>
      <c r="N131" s="13" t="s">
        <v>412</v>
      </c>
      <c r="O131" s="13" t="s">
        <v>412</v>
      </c>
      <c r="P131" s="16" t="s">
        <v>509</v>
      </c>
    </row>
    <row r="132" spans="1:16" ht="40.049999999999997" customHeight="1" x14ac:dyDescent="0.3">
      <c r="A132" s="12" t="s">
        <v>128</v>
      </c>
      <c r="B132" s="13" t="s">
        <v>192</v>
      </c>
      <c r="C132" s="13" t="s">
        <v>199</v>
      </c>
      <c r="D132" s="14" t="s">
        <v>202</v>
      </c>
      <c r="E132" s="14" t="s">
        <v>211</v>
      </c>
      <c r="F132" s="15" t="s">
        <v>231</v>
      </c>
      <c r="G132" s="14" t="s">
        <v>262</v>
      </c>
      <c r="H132" s="13" t="s">
        <v>396</v>
      </c>
      <c r="I132" s="13" t="s">
        <v>395</v>
      </c>
      <c r="J132" s="13" t="s">
        <v>395</v>
      </c>
      <c r="K132" s="13" t="s">
        <v>405</v>
      </c>
      <c r="L132" s="13" t="s">
        <v>407</v>
      </c>
      <c r="M132" s="13">
        <v>4</v>
      </c>
      <c r="N132" s="13" t="s">
        <v>381</v>
      </c>
      <c r="O132" s="13" t="s">
        <v>414</v>
      </c>
      <c r="P132" s="16" t="s">
        <v>422</v>
      </c>
    </row>
    <row r="133" spans="1:16" ht="40.049999999999997" customHeight="1" x14ac:dyDescent="0.3">
      <c r="A133" s="12" t="s">
        <v>129</v>
      </c>
      <c r="B133" s="13" t="s">
        <v>192</v>
      </c>
      <c r="C133" s="13" t="s">
        <v>199</v>
      </c>
      <c r="D133" s="14" t="s">
        <v>202</v>
      </c>
      <c r="E133" s="14" t="s">
        <v>211</v>
      </c>
      <c r="F133" s="15" t="s">
        <v>254</v>
      </c>
      <c r="G133" s="14" t="s">
        <v>305</v>
      </c>
      <c r="H133" s="13" t="s">
        <v>394</v>
      </c>
      <c r="I133" s="13" t="s">
        <v>395</v>
      </c>
      <c r="J133" s="13" t="s">
        <v>395</v>
      </c>
      <c r="K133" s="13" t="s">
        <v>403</v>
      </c>
      <c r="L133" s="13" t="s">
        <v>407</v>
      </c>
      <c r="M133" s="13">
        <v>5</v>
      </c>
      <c r="N133" s="13" t="s">
        <v>412</v>
      </c>
      <c r="O133" s="13" t="s">
        <v>381</v>
      </c>
      <c r="P133" s="16" t="s">
        <v>510</v>
      </c>
    </row>
    <row r="134" spans="1:16" ht="40.049999999999997" customHeight="1" x14ac:dyDescent="0.3">
      <c r="A134" s="12" t="s">
        <v>130</v>
      </c>
      <c r="B134" s="13" t="s">
        <v>192</v>
      </c>
      <c r="C134" s="13" t="s">
        <v>199</v>
      </c>
      <c r="D134" s="14" t="s">
        <v>202</v>
      </c>
      <c r="E134" s="14" t="s">
        <v>211</v>
      </c>
      <c r="F134" s="15" t="s">
        <v>255</v>
      </c>
      <c r="G134" s="14"/>
      <c r="H134" s="13" t="s">
        <v>396</v>
      </c>
      <c r="I134" s="13" t="s">
        <v>399</v>
      </c>
      <c r="J134" s="13" t="s">
        <v>397</v>
      </c>
      <c r="K134" s="13" t="s">
        <v>402</v>
      </c>
      <c r="L134" s="13" t="s">
        <v>407</v>
      </c>
      <c r="M134" s="13">
        <v>5</v>
      </c>
      <c r="N134" s="13" t="s">
        <v>412</v>
      </c>
      <c r="O134" s="13" t="s">
        <v>381</v>
      </c>
      <c r="P134" s="16"/>
    </row>
    <row r="135" spans="1:16" ht="40.049999999999997" customHeight="1" x14ac:dyDescent="0.3">
      <c r="A135" s="12" t="s">
        <v>131</v>
      </c>
      <c r="B135" s="13" t="s">
        <v>190</v>
      </c>
      <c r="C135" s="13" t="s">
        <v>199</v>
      </c>
      <c r="D135" s="14" t="s">
        <v>202</v>
      </c>
      <c r="E135" s="14" t="s">
        <v>213</v>
      </c>
      <c r="F135" s="15" t="s">
        <v>234</v>
      </c>
      <c r="G135" s="14" t="s">
        <v>354</v>
      </c>
      <c r="H135" s="13" t="s">
        <v>395</v>
      </c>
      <c r="I135" s="13" t="s">
        <v>397</v>
      </c>
      <c r="J135" s="13" t="s">
        <v>399</v>
      </c>
      <c r="K135" s="13" t="s">
        <v>405</v>
      </c>
      <c r="L135" s="13" t="s">
        <v>408</v>
      </c>
      <c r="M135" s="13">
        <v>3</v>
      </c>
      <c r="N135" s="13" t="s">
        <v>381</v>
      </c>
      <c r="O135" s="13" t="s">
        <v>381</v>
      </c>
      <c r="P135" s="16" t="s">
        <v>511</v>
      </c>
    </row>
    <row r="136" spans="1:16" ht="40.049999999999997" customHeight="1" x14ac:dyDescent="0.3">
      <c r="A136" s="12" t="s">
        <v>132</v>
      </c>
      <c r="B136" s="13" t="s">
        <v>194</v>
      </c>
      <c r="C136" s="13" t="s">
        <v>198</v>
      </c>
      <c r="D136" s="14" t="s">
        <v>201</v>
      </c>
      <c r="E136" s="14" t="s">
        <v>214</v>
      </c>
      <c r="F136" s="15" t="s">
        <v>224</v>
      </c>
      <c r="G136" s="14" t="s">
        <v>355</v>
      </c>
      <c r="H136" s="13" t="s">
        <v>394</v>
      </c>
      <c r="I136" s="13" t="s">
        <v>397</v>
      </c>
      <c r="J136" s="13" t="s">
        <v>395</v>
      </c>
      <c r="K136" s="13" t="s">
        <v>402</v>
      </c>
      <c r="L136" s="13" t="s">
        <v>409</v>
      </c>
      <c r="M136" s="13">
        <v>5</v>
      </c>
      <c r="N136" s="13" t="s">
        <v>412</v>
      </c>
      <c r="O136" s="13" t="s">
        <v>414</v>
      </c>
      <c r="P136" s="16" t="s">
        <v>512</v>
      </c>
    </row>
    <row r="137" spans="1:16" ht="40.049999999999997" customHeight="1" x14ac:dyDescent="0.3">
      <c r="A137" s="12" t="s">
        <v>133</v>
      </c>
      <c r="B137" s="13" t="s">
        <v>192</v>
      </c>
      <c r="C137" s="13" t="s">
        <v>199</v>
      </c>
      <c r="D137" s="14" t="s">
        <v>202</v>
      </c>
      <c r="E137" s="14" t="s">
        <v>212</v>
      </c>
      <c r="F137" s="15" t="s">
        <v>226</v>
      </c>
      <c r="G137" s="14" t="s">
        <v>356</v>
      </c>
      <c r="H137" s="13" t="s">
        <v>395</v>
      </c>
      <c r="I137" s="13" t="s">
        <v>397</v>
      </c>
      <c r="J137" s="13" t="s">
        <v>395</v>
      </c>
      <c r="K137" s="13" t="s">
        <v>402</v>
      </c>
      <c r="L137" s="13" t="s">
        <v>409</v>
      </c>
      <c r="M137" s="13">
        <v>5</v>
      </c>
      <c r="N137" s="13" t="s">
        <v>412</v>
      </c>
      <c r="O137" s="13" t="s">
        <v>381</v>
      </c>
      <c r="P137" s="16" t="s">
        <v>513</v>
      </c>
    </row>
    <row r="138" spans="1:16" ht="40.049999999999997" customHeight="1" x14ac:dyDescent="0.3">
      <c r="A138" s="12" t="s">
        <v>134</v>
      </c>
      <c r="B138" s="13" t="s">
        <v>192</v>
      </c>
      <c r="C138" s="13" t="s">
        <v>198</v>
      </c>
      <c r="D138" s="14" t="s">
        <v>202</v>
      </c>
      <c r="E138" s="14" t="s">
        <v>212</v>
      </c>
      <c r="F138" s="15" t="s">
        <v>256</v>
      </c>
      <c r="G138" s="14"/>
      <c r="H138" s="13" t="s">
        <v>394</v>
      </c>
      <c r="I138" s="13" t="s">
        <v>397</v>
      </c>
      <c r="J138" s="13" t="s">
        <v>399</v>
      </c>
      <c r="K138" s="13" t="s">
        <v>402</v>
      </c>
      <c r="L138" s="13" t="s">
        <v>407</v>
      </c>
      <c r="M138" s="13">
        <v>4</v>
      </c>
      <c r="N138" s="13" t="s">
        <v>381</v>
      </c>
      <c r="O138" s="13" t="s">
        <v>414</v>
      </c>
      <c r="P138" s="16" t="s">
        <v>514</v>
      </c>
    </row>
    <row r="139" spans="1:16" ht="40.049999999999997" customHeight="1" x14ac:dyDescent="0.3">
      <c r="A139" s="12" t="s">
        <v>135</v>
      </c>
      <c r="B139" s="13" t="s">
        <v>192</v>
      </c>
      <c r="C139" s="13" t="s">
        <v>199</v>
      </c>
      <c r="D139" s="14" t="s">
        <v>202</v>
      </c>
      <c r="E139" s="14" t="s">
        <v>211</v>
      </c>
      <c r="F139" s="15" t="s">
        <v>218</v>
      </c>
      <c r="G139" s="14" t="s">
        <v>357</v>
      </c>
      <c r="H139" s="13" t="s">
        <v>394</v>
      </c>
      <c r="I139" s="13" t="s">
        <v>397</v>
      </c>
      <c r="J139" s="13" t="s">
        <v>397</v>
      </c>
      <c r="K139" s="13" t="s">
        <v>402</v>
      </c>
      <c r="L139" s="13" t="s">
        <v>407</v>
      </c>
      <c r="M139" s="13">
        <v>5</v>
      </c>
      <c r="N139" s="13" t="s">
        <v>381</v>
      </c>
      <c r="O139" s="13" t="s">
        <v>414</v>
      </c>
      <c r="P139" s="16" t="s">
        <v>515</v>
      </c>
    </row>
    <row r="140" spans="1:16" ht="40.049999999999997" customHeight="1" x14ac:dyDescent="0.3">
      <c r="A140" s="12" t="s">
        <v>136</v>
      </c>
      <c r="B140" s="13" t="s">
        <v>192</v>
      </c>
      <c r="C140" s="13" t="s">
        <v>199</v>
      </c>
      <c r="D140" s="14" t="s">
        <v>202</v>
      </c>
      <c r="E140" s="14" t="s">
        <v>212</v>
      </c>
      <c r="F140" s="15" t="s">
        <v>218</v>
      </c>
      <c r="G140" s="14" t="s">
        <v>358</v>
      </c>
      <c r="H140" s="13" t="s">
        <v>397</v>
      </c>
      <c r="I140" s="13" t="s">
        <v>397</v>
      </c>
      <c r="J140" s="13" t="s">
        <v>394</v>
      </c>
      <c r="K140" s="13" t="s">
        <v>402</v>
      </c>
      <c r="L140" s="13" t="s">
        <v>409</v>
      </c>
      <c r="M140" s="13">
        <v>4</v>
      </c>
      <c r="N140" s="13" t="s">
        <v>412</v>
      </c>
      <c r="O140" s="13" t="s">
        <v>381</v>
      </c>
      <c r="P140" s="16" t="s">
        <v>516</v>
      </c>
    </row>
    <row r="141" spans="1:16" ht="40.049999999999997" customHeight="1" x14ac:dyDescent="0.3">
      <c r="A141" s="12" t="s">
        <v>137</v>
      </c>
      <c r="B141" s="13" t="s">
        <v>192</v>
      </c>
      <c r="C141" s="13" t="s">
        <v>199</v>
      </c>
      <c r="D141" s="14" t="s">
        <v>208</v>
      </c>
      <c r="E141" s="14" t="s">
        <v>212</v>
      </c>
      <c r="F141" s="15" t="s">
        <v>240</v>
      </c>
      <c r="G141" s="14" t="s">
        <v>325</v>
      </c>
      <c r="H141" s="13" t="s">
        <v>397</v>
      </c>
      <c r="I141" s="13" t="s">
        <v>397</v>
      </c>
      <c r="J141" s="13" t="s">
        <v>399</v>
      </c>
      <c r="K141" s="13" t="s">
        <v>403</v>
      </c>
      <c r="L141" s="13" t="s">
        <v>409</v>
      </c>
      <c r="M141" s="13">
        <v>3</v>
      </c>
      <c r="N141" s="13" t="s">
        <v>381</v>
      </c>
      <c r="O141" s="13" t="s">
        <v>381</v>
      </c>
      <c r="P141" s="16" t="s">
        <v>517</v>
      </c>
    </row>
    <row r="142" spans="1:16" ht="40.049999999999997" customHeight="1" x14ac:dyDescent="0.3">
      <c r="A142" s="12" t="s">
        <v>138</v>
      </c>
      <c r="B142" s="13" t="s">
        <v>192</v>
      </c>
      <c r="C142" s="13" t="s">
        <v>199</v>
      </c>
      <c r="D142" s="14" t="s">
        <v>202</v>
      </c>
      <c r="E142" s="14" t="s">
        <v>213</v>
      </c>
      <c r="F142" s="15" t="s">
        <v>251</v>
      </c>
      <c r="G142" s="14" t="s">
        <v>262</v>
      </c>
      <c r="H142" s="13" t="s">
        <v>394</v>
      </c>
      <c r="I142" s="13" t="s">
        <v>397</v>
      </c>
      <c r="J142" s="13" t="s">
        <v>397</v>
      </c>
      <c r="K142" s="13" t="s">
        <v>403</v>
      </c>
      <c r="L142" s="13" t="s">
        <v>407</v>
      </c>
      <c r="M142" s="13">
        <v>3</v>
      </c>
      <c r="N142" s="13" t="s">
        <v>381</v>
      </c>
      <c r="O142" s="13" t="s">
        <v>414</v>
      </c>
      <c r="P142" s="16" t="s">
        <v>518</v>
      </c>
    </row>
    <row r="143" spans="1:16" ht="40.049999999999997" customHeight="1" x14ac:dyDescent="0.3">
      <c r="A143" s="12" t="s">
        <v>139</v>
      </c>
      <c r="B143" s="13" t="s">
        <v>192</v>
      </c>
      <c r="C143" s="13" t="s">
        <v>199</v>
      </c>
      <c r="D143" s="14" t="s">
        <v>202</v>
      </c>
      <c r="E143" s="14" t="s">
        <v>213</v>
      </c>
      <c r="F143" s="15" t="s">
        <v>226</v>
      </c>
      <c r="G143" s="14" t="s">
        <v>359</v>
      </c>
      <c r="H143" s="13" t="s">
        <v>394</v>
      </c>
      <c r="I143" s="13" t="s">
        <v>399</v>
      </c>
      <c r="J143" s="13" t="s">
        <v>395</v>
      </c>
      <c r="K143" s="13" t="s">
        <v>402</v>
      </c>
      <c r="L143" s="13" t="s">
        <v>409</v>
      </c>
      <c r="M143" s="13">
        <v>5</v>
      </c>
      <c r="N143" s="13" t="s">
        <v>381</v>
      </c>
      <c r="O143" s="13" t="s">
        <v>381</v>
      </c>
      <c r="P143" s="16" t="s">
        <v>519</v>
      </c>
    </row>
    <row r="144" spans="1:16" ht="40.049999999999997" customHeight="1" x14ac:dyDescent="0.3">
      <c r="A144" s="12" t="s">
        <v>140</v>
      </c>
      <c r="B144" s="13" t="s">
        <v>192</v>
      </c>
      <c r="C144" s="13" t="s">
        <v>199</v>
      </c>
      <c r="D144" s="14" t="s">
        <v>202</v>
      </c>
      <c r="E144" s="14" t="s">
        <v>212</v>
      </c>
      <c r="F144" s="15" t="s">
        <v>236</v>
      </c>
      <c r="G144" s="14" t="s">
        <v>360</v>
      </c>
      <c r="H144" s="13" t="s">
        <v>394</v>
      </c>
      <c r="I144" s="13" t="s">
        <v>395</v>
      </c>
      <c r="J144" s="13" t="s">
        <v>395</v>
      </c>
      <c r="K144" s="13" t="s">
        <v>402</v>
      </c>
      <c r="L144" s="13" t="s">
        <v>407</v>
      </c>
      <c r="M144" s="13">
        <v>4</v>
      </c>
      <c r="N144" s="13" t="s">
        <v>412</v>
      </c>
      <c r="O144" s="13" t="s">
        <v>381</v>
      </c>
      <c r="P144" s="16" t="s">
        <v>520</v>
      </c>
    </row>
    <row r="145" spans="1:16" ht="40.049999999999997" customHeight="1" x14ac:dyDescent="0.3">
      <c r="A145" s="12" t="s">
        <v>141</v>
      </c>
      <c r="B145" s="13" t="s">
        <v>194</v>
      </c>
      <c r="C145" s="13" t="s">
        <v>199</v>
      </c>
      <c r="D145" s="14" t="s">
        <v>201</v>
      </c>
      <c r="E145" s="14" t="s">
        <v>212</v>
      </c>
      <c r="F145" s="15" t="s">
        <v>252</v>
      </c>
      <c r="G145" s="14" t="s">
        <v>361</v>
      </c>
      <c r="H145" s="13" t="s">
        <v>395</v>
      </c>
      <c r="I145" s="13" t="s">
        <v>399</v>
      </c>
      <c r="J145" s="13" t="s">
        <v>395</v>
      </c>
      <c r="K145" s="13" t="s">
        <v>403</v>
      </c>
      <c r="L145" s="13" t="s">
        <v>409</v>
      </c>
      <c r="M145" s="13">
        <v>5</v>
      </c>
      <c r="N145" s="13" t="s">
        <v>381</v>
      </c>
      <c r="O145" s="13" t="s">
        <v>414</v>
      </c>
      <c r="P145" s="16" t="s">
        <v>521</v>
      </c>
    </row>
    <row r="146" spans="1:16" ht="40.049999999999997" customHeight="1" x14ac:dyDescent="0.3">
      <c r="A146" s="12" t="s">
        <v>142</v>
      </c>
      <c r="B146" s="13" t="s">
        <v>192</v>
      </c>
      <c r="C146" s="13" t="s">
        <v>199</v>
      </c>
      <c r="D146" s="14" t="s">
        <v>202</v>
      </c>
      <c r="E146" s="14" t="s">
        <v>213</v>
      </c>
      <c r="F146" s="15" t="s">
        <v>218</v>
      </c>
      <c r="G146" s="14" t="s">
        <v>262</v>
      </c>
      <c r="H146" s="13" t="s">
        <v>397</v>
      </c>
      <c r="I146" s="13" t="s">
        <v>395</v>
      </c>
      <c r="J146" s="13" t="s">
        <v>395</v>
      </c>
      <c r="K146" s="13" t="s">
        <v>402</v>
      </c>
      <c r="L146" s="13" t="s">
        <v>407</v>
      </c>
      <c r="M146" s="13">
        <v>4</v>
      </c>
      <c r="N146" s="13" t="s">
        <v>381</v>
      </c>
      <c r="O146" s="13" t="s">
        <v>414</v>
      </c>
      <c r="P146" s="16" t="s">
        <v>522</v>
      </c>
    </row>
    <row r="147" spans="1:16" ht="40.049999999999997" customHeight="1" x14ac:dyDescent="0.3">
      <c r="A147" s="12" t="s">
        <v>143</v>
      </c>
      <c r="B147" s="13" t="s">
        <v>192</v>
      </c>
      <c r="C147" s="13" t="s">
        <v>198</v>
      </c>
      <c r="D147" s="14" t="s">
        <v>202</v>
      </c>
      <c r="E147" s="14" t="s">
        <v>211</v>
      </c>
      <c r="F147" s="15" t="s">
        <v>230</v>
      </c>
      <c r="G147" s="14" t="s">
        <v>362</v>
      </c>
      <c r="H147" s="13" t="s">
        <v>394</v>
      </c>
      <c r="I147" s="13" t="s">
        <v>399</v>
      </c>
      <c r="J147" s="13" t="s">
        <v>399</v>
      </c>
      <c r="K147" s="13" t="s">
        <v>402</v>
      </c>
      <c r="L147" s="13" t="s">
        <v>407</v>
      </c>
      <c r="M147" s="13">
        <v>4</v>
      </c>
      <c r="N147" s="13" t="s">
        <v>381</v>
      </c>
      <c r="O147" s="13" t="s">
        <v>414</v>
      </c>
      <c r="P147" s="16" t="s">
        <v>523</v>
      </c>
    </row>
    <row r="148" spans="1:16" ht="40.049999999999997" customHeight="1" x14ac:dyDescent="0.3">
      <c r="A148" s="12" t="s">
        <v>144</v>
      </c>
      <c r="B148" s="13" t="s">
        <v>192</v>
      </c>
      <c r="C148" s="13" t="s">
        <v>199</v>
      </c>
      <c r="D148" s="14" t="s">
        <v>202</v>
      </c>
      <c r="E148" s="14" t="s">
        <v>212</v>
      </c>
      <c r="F148" s="15" t="s">
        <v>239</v>
      </c>
      <c r="G148" s="14" t="s">
        <v>363</v>
      </c>
      <c r="H148" s="13" t="s">
        <v>395</v>
      </c>
      <c r="I148" s="13" t="s">
        <v>395</v>
      </c>
      <c r="J148" s="13" t="s">
        <v>395</v>
      </c>
      <c r="K148" s="13" t="s">
        <v>403</v>
      </c>
      <c r="L148" s="13" t="s">
        <v>407</v>
      </c>
      <c r="M148" s="13">
        <v>4</v>
      </c>
      <c r="N148" s="13" t="s">
        <v>381</v>
      </c>
      <c r="O148" s="13" t="s">
        <v>414</v>
      </c>
      <c r="P148" s="16" t="s">
        <v>524</v>
      </c>
    </row>
    <row r="149" spans="1:16" ht="40.049999999999997" customHeight="1" x14ac:dyDescent="0.3">
      <c r="A149" s="12" t="s">
        <v>145</v>
      </c>
      <c r="B149" s="13" t="s">
        <v>192</v>
      </c>
      <c r="C149" s="13" t="s">
        <v>199</v>
      </c>
      <c r="D149" s="14" t="s">
        <v>202</v>
      </c>
      <c r="E149" s="14" t="s">
        <v>213</v>
      </c>
      <c r="F149" s="15" t="s">
        <v>231</v>
      </c>
      <c r="G149" s="14" t="s">
        <v>364</v>
      </c>
      <c r="H149" s="13" t="s">
        <v>396</v>
      </c>
      <c r="I149" s="13" t="s">
        <v>397</v>
      </c>
      <c r="J149" s="13" t="s">
        <v>399</v>
      </c>
      <c r="K149" s="13" t="s">
        <v>402</v>
      </c>
      <c r="L149" s="13" t="s">
        <v>407</v>
      </c>
      <c r="M149" s="13">
        <v>5</v>
      </c>
      <c r="N149" s="13" t="s">
        <v>381</v>
      </c>
      <c r="O149" s="13" t="s">
        <v>381</v>
      </c>
      <c r="P149" s="16" t="s">
        <v>525</v>
      </c>
    </row>
    <row r="150" spans="1:16" ht="40.049999999999997" customHeight="1" x14ac:dyDescent="0.3">
      <c r="A150" s="12" t="s">
        <v>146</v>
      </c>
      <c r="B150" s="13" t="s">
        <v>192</v>
      </c>
      <c r="C150" s="13" t="s">
        <v>199</v>
      </c>
      <c r="D150" s="14" t="s">
        <v>202</v>
      </c>
      <c r="E150" s="14" t="s">
        <v>212</v>
      </c>
      <c r="F150" s="15" t="s">
        <v>218</v>
      </c>
      <c r="G150" s="14" t="s">
        <v>365</v>
      </c>
      <c r="H150" s="13" t="s">
        <v>394</v>
      </c>
      <c r="I150" s="13" t="s">
        <v>395</v>
      </c>
      <c r="J150" s="13" t="s">
        <v>397</v>
      </c>
      <c r="K150" s="13" t="s">
        <v>403</v>
      </c>
      <c r="L150" s="13" t="s">
        <v>409</v>
      </c>
      <c r="M150" s="13">
        <v>4</v>
      </c>
      <c r="N150" s="13" t="s">
        <v>412</v>
      </c>
      <c r="O150" s="13" t="s">
        <v>414</v>
      </c>
      <c r="P150" s="16" t="s">
        <v>526</v>
      </c>
    </row>
    <row r="151" spans="1:16" ht="40.049999999999997" customHeight="1" x14ac:dyDescent="0.3">
      <c r="A151" s="12" t="s">
        <v>147</v>
      </c>
      <c r="B151" s="13" t="s">
        <v>192</v>
      </c>
      <c r="C151" s="13" t="s">
        <v>199</v>
      </c>
      <c r="D151" s="14" t="s">
        <v>202</v>
      </c>
      <c r="E151" s="14" t="s">
        <v>211</v>
      </c>
      <c r="F151" s="15" t="s">
        <v>226</v>
      </c>
      <c r="G151" s="14" t="s">
        <v>305</v>
      </c>
      <c r="H151" s="13" t="s">
        <v>397</v>
      </c>
      <c r="I151" s="13" t="s">
        <v>397</v>
      </c>
      <c r="J151" s="13" t="s">
        <v>397</v>
      </c>
      <c r="K151" s="13" t="s">
        <v>402</v>
      </c>
      <c r="L151" s="13" t="s">
        <v>407</v>
      </c>
      <c r="M151" s="13">
        <v>3</v>
      </c>
      <c r="N151" s="13" t="s">
        <v>381</v>
      </c>
      <c r="O151" s="13" t="s">
        <v>414</v>
      </c>
      <c r="P151" s="16" t="s">
        <v>426</v>
      </c>
    </row>
    <row r="152" spans="1:16" ht="40.049999999999997" customHeight="1" x14ac:dyDescent="0.3">
      <c r="A152" s="12" t="s">
        <v>148</v>
      </c>
      <c r="B152" s="13" t="s">
        <v>192</v>
      </c>
      <c r="C152" s="13" t="s">
        <v>199</v>
      </c>
      <c r="D152" s="14" t="s">
        <v>202</v>
      </c>
      <c r="E152" s="14" t="s">
        <v>212</v>
      </c>
      <c r="F152" s="15" t="s">
        <v>222</v>
      </c>
      <c r="G152" s="14" t="s">
        <v>359</v>
      </c>
      <c r="H152" s="13" t="s">
        <v>397</v>
      </c>
      <c r="I152" s="13" t="s">
        <v>395</v>
      </c>
      <c r="J152" s="13" t="s">
        <v>395</v>
      </c>
      <c r="K152" s="13" t="s">
        <v>403</v>
      </c>
      <c r="L152" s="13" t="s">
        <v>409</v>
      </c>
      <c r="M152" s="13">
        <v>5</v>
      </c>
      <c r="N152" s="13" t="s">
        <v>412</v>
      </c>
      <c r="O152" s="13" t="s">
        <v>414</v>
      </c>
      <c r="P152" s="16" t="s">
        <v>527</v>
      </c>
    </row>
    <row r="153" spans="1:16" ht="40.049999999999997" customHeight="1" x14ac:dyDescent="0.3">
      <c r="A153" s="12" t="s">
        <v>149</v>
      </c>
      <c r="B153" s="13" t="s">
        <v>192</v>
      </c>
      <c r="C153" s="13" t="s">
        <v>199</v>
      </c>
      <c r="D153" s="14" t="s">
        <v>201</v>
      </c>
      <c r="E153" s="14" t="s">
        <v>213</v>
      </c>
      <c r="F153" s="15" t="s">
        <v>226</v>
      </c>
      <c r="G153" s="14" t="s">
        <v>366</v>
      </c>
      <c r="H153" s="13" t="s">
        <v>394</v>
      </c>
      <c r="I153" s="13" t="s">
        <v>394</v>
      </c>
      <c r="J153" s="13" t="s">
        <v>395</v>
      </c>
      <c r="K153" s="13" t="s">
        <v>402</v>
      </c>
      <c r="L153" s="13" t="s">
        <v>407</v>
      </c>
      <c r="M153" s="13">
        <v>4</v>
      </c>
      <c r="N153" s="13" t="s">
        <v>412</v>
      </c>
      <c r="O153" s="13" t="s">
        <v>381</v>
      </c>
      <c r="P153" s="16" t="s">
        <v>528</v>
      </c>
    </row>
    <row r="154" spans="1:16" ht="40.049999999999997" customHeight="1" x14ac:dyDescent="0.3">
      <c r="A154" s="12" t="s">
        <v>150</v>
      </c>
      <c r="B154" s="13" t="s">
        <v>192</v>
      </c>
      <c r="C154" s="13" t="s">
        <v>198</v>
      </c>
      <c r="D154" s="14" t="s">
        <v>202</v>
      </c>
      <c r="E154" s="14" t="s">
        <v>211</v>
      </c>
      <c r="F154" s="15" t="s">
        <v>218</v>
      </c>
      <c r="G154" s="14" t="s">
        <v>262</v>
      </c>
      <c r="H154" s="13" t="s">
        <v>395</v>
      </c>
      <c r="I154" s="13" t="s">
        <v>397</v>
      </c>
      <c r="J154" s="13" t="s">
        <v>397</v>
      </c>
      <c r="K154" s="13" t="s">
        <v>402</v>
      </c>
      <c r="L154" s="13" t="s">
        <v>409</v>
      </c>
      <c r="M154" s="13">
        <v>3</v>
      </c>
      <c r="N154" s="13" t="s">
        <v>412</v>
      </c>
      <c r="O154" s="13" t="s">
        <v>381</v>
      </c>
      <c r="P154" s="16" t="s">
        <v>529</v>
      </c>
    </row>
    <row r="155" spans="1:16" ht="40.049999999999997" customHeight="1" x14ac:dyDescent="0.3">
      <c r="A155" s="12" t="s">
        <v>151</v>
      </c>
      <c r="B155" s="13" t="s">
        <v>192</v>
      </c>
      <c r="C155" s="13" t="s">
        <v>199</v>
      </c>
      <c r="D155" s="14" t="s">
        <v>202</v>
      </c>
      <c r="E155" s="14" t="s">
        <v>211</v>
      </c>
      <c r="F155" s="15" t="s">
        <v>223</v>
      </c>
      <c r="G155" s="14"/>
      <c r="H155" s="13" t="s">
        <v>395</v>
      </c>
      <c r="I155" s="13" t="s">
        <v>397</v>
      </c>
      <c r="J155" s="13" t="s">
        <v>397</v>
      </c>
      <c r="K155" s="13" t="s">
        <v>403</v>
      </c>
      <c r="L155" s="13" t="s">
        <v>407</v>
      </c>
      <c r="M155" s="13">
        <v>4</v>
      </c>
      <c r="N155" s="13" t="s">
        <v>381</v>
      </c>
      <c r="O155" s="13" t="s">
        <v>414</v>
      </c>
      <c r="P155" s="16" t="s">
        <v>530</v>
      </c>
    </row>
    <row r="156" spans="1:16" ht="40.049999999999997" customHeight="1" x14ac:dyDescent="0.3">
      <c r="A156" s="12" t="s">
        <v>152</v>
      </c>
      <c r="B156" s="13" t="s">
        <v>190</v>
      </c>
      <c r="C156" s="13" t="s">
        <v>199</v>
      </c>
      <c r="D156" s="14" t="s">
        <v>202</v>
      </c>
      <c r="E156" s="14" t="s">
        <v>211</v>
      </c>
      <c r="F156" s="15" t="s">
        <v>231</v>
      </c>
      <c r="G156" s="14" t="s">
        <v>367</v>
      </c>
      <c r="H156" s="13" t="s">
        <v>395</v>
      </c>
      <c r="I156" s="13" t="s">
        <v>395</v>
      </c>
      <c r="J156" s="13" t="s">
        <v>395</v>
      </c>
      <c r="K156" s="13" t="s">
        <v>403</v>
      </c>
      <c r="L156" s="13" t="s">
        <v>409</v>
      </c>
      <c r="M156" s="13">
        <v>1</v>
      </c>
      <c r="N156" s="13" t="s">
        <v>381</v>
      </c>
      <c r="O156" s="13" t="s">
        <v>381</v>
      </c>
      <c r="P156" s="16" t="s">
        <v>531</v>
      </c>
    </row>
    <row r="157" spans="1:16" ht="40.049999999999997" customHeight="1" x14ac:dyDescent="0.3">
      <c r="A157" s="12" t="s">
        <v>153</v>
      </c>
      <c r="B157" s="13" t="s">
        <v>192</v>
      </c>
      <c r="C157" s="13" t="s">
        <v>199</v>
      </c>
      <c r="D157" s="14" t="s">
        <v>202</v>
      </c>
      <c r="E157" s="14" t="s">
        <v>211</v>
      </c>
      <c r="F157" s="15" t="s">
        <v>252</v>
      </c>
      <c r="G157" s="14" t="s">
        <v>270</v>
      </c>
      <c r="H157" s="13" t="s">
        <v>395</v>
      </c>
      <c r="I157" s="13" t="s">
        <v>395</v>
      </c>
      <c r="J157" s="13" t="s">
        <v>395</v>
      </c>
      <c r="K157" s="13" t="s">
        <v>402</v>
      </c>
      <c r="L157" s="13" t="s">
        <v>409</v>
      </c>
      <c r="M157" s="13">
        <v>1</v>
      </c>
      <c r="N157" s="13" t="s">
        <v>412</v>
      </c>
      <c r="O157" s="13" t="s">
        <v>414</v>
      </c>
      <c r="P157" s="16" t="s">
        <v>532</v>
      </c>
    </row>
    <row r="158" spans="1:16" ht="40.049999999999997" customHeight="1" x14ac:dyDescent="0.3">
      <c r="A158" s="12" t="s">
        <v>154</v>
      </c>
      <c r="B158" s="13" t="s">
        <v>192</v>
      </c>
      <c r="C158" s="13" t="s">
        <v>199</v>
      </c>
      <c r="D158" s="14" t="s">
        <v>202</v>
      </c>
      <c r="E158" s="14" t="s">
        <v>213</v>
      </c>
      <c r="F158" s="15" t="s">
        <v>232</v>
      </c>
      <c r="G158" s="14" t="s">
        <v>368</v>
      </c>
      <c r="H158" s="13" t="s">
        <v>397</v>
      </c>
      <c r="I158" s="13" t="s">
        <v>395</v>
      </c>
      <c r="J158" s="13" t="s">
        <v>395</v>
      </c>
      <c r="K158" s="13" t="s">
        <v>403</v>
      </c>
      <c r="L158" s="13" t="s">
        <v>409</v>
      </c>
      <c r="M158" s="13">
        <v>4</v>
      </c>
      <c r="N158" s="13" t="s">
        <v>412</v>
      </c>
      <c r="O158" s="13" t="s">
        <v>381</v>
      </c>
      <c r="P158" s="16"/>
    </row>
    <row r="159" spans="1:16" ht="40.049999999999997" customHeight="1" x14ac:dyDescent="0.3">
      <c r="A159" s="12" t="s">
        <v>155</v>
      </c>
      <c r="B159" s="13" t="s">
        <v>192</v>
      </c>
      <c r="C159" s="13" t="s">
        <v>199</v>
      </c>
      <c r="D159" s="14" t="s">
        <v>202</v>
      </c>
      <c r="E159" s="14" t="s">
        <v>211</v>
      </c>
      <c r="F159" s="15" t="s">
        <v>218</v>
      </c>
      <c r="G159" s="14" t="s">
        <v>265</v>
      </c>
      <c r="H159" s="13" t="s">
        <v>397</v>
      </c>
      <c r="I159" s="13" t="s">
        <v>397</v>
      </c>
      <c r="J159" s="13" t="s">
        <v>399</v>
      </c>
      <c r="K159" s="13" t="s">
        <v>403</v>
      </c>
      <c r="L159" s="13" t="s">
        <v>409</v>
      </c>
      <c r="M159" s="13">
        <v>4</v>
      </c>
      <c r="N159" s="13" t="s">
        <v>412</v>
      </c>
      <c r="O159" s="13" t="s">
        <v>381</v>
      </c>
      <c r="P159" s="16" t="s">
        <v>533</v>
      </c>
    </row>
    <row r="160" spans="1:16" ht="40.049999999999997" customHeight="1" x14ac:dyDescent="0.3">
      <c r="A160" s="12" t="s">
        <v>156</v>
      </c>
      <c r="B160" s="13" t="s">
        <v>190</v>
      </c>
      <c r="C160" s="13" t="s">
        <v>198</v>
      </c>
      <c r="D160" s="14" t="s">
        <v>209</v>
      </c>
      <c r="E160" s="14" t="s">
        <v>211</v>
      </c>
      <c r="F160" s="15" t="s">
        <v>232</v>
      </c>
      <c r="G160" s="14" t="s">
        <v>369</v>
      </c>
      <c r="H160" s="13" t="s">
        <v>397</v>
      </c>
      <c r="I160" s="13" t="s">
        <v>397</v>
      </c>
      <c r="J160" s="13" t="s">
        <v>397</v>
      </c>
      <c r="K160" s="13" t="s">
        <v>402</v>
      </c>
      <c r="L160" s="13" t="s">
        <v>409</v>
      </c>
      <c r="M160" s="13">
        <v>2</v>
      </c>
      <c r="N160" s="13" t="s">
        <v>381</v>
      </c>
      <c r="O160" s="13" t="s">
        <v>414</v>
      </c>
      <c r="P160" s="16" t="s">
        <v>381</v>
      </c>
    </row>
    <row r="161" spans="1:16" ht="40.049999999999997" customHeight="1" x14ac:dyDescent="0.3">
      <c r="A161" s="12" t="s">
        <v>157</v>
      </c>
      <c r="B161" s="13" t="s">
        <v>192</v>
      </c>
      <c r="C161" s="13" t="s">
        <v>199</v>
      </c>
      <c r="D161" s="14" t="s">
        <v>202</v>
      </c>
      <c r="E161" s="14" t="s">
        <v>211</v>
      </c>
      <c r="F161" s="15" t="s">
        <v>218</v>
      </c>
      <c r="G161" s="14" t="s">
        <v>370</v>
      </c>
      <c r="H161" s="13" t="s">
        <v>394</v>
      </c>
      <c r="I161" s="13" t="s">
        <v>399</v>
      </c>
      <c r="J161" s="13" t="s">
        <v>397</v>
      </c>
      <c r="K161" s="13" t="s">
        <v>405</v>
      </c>
      <c r="L161" s="13" t="s">
        <v>407</v>
      </c>
      <c r="M161" s="13">
        <v>4</v>
      </c>
      <c r="N161" s="13" t="s">
        <v>381</v>
      </c>
      <c r="O161" s="13" t="s">
        <v>414</v>
      </c>
      <c r="P161" s="16" t="s">
        <v>534</v>
      </c>
    </row>
    <row r="162" spans="1:16" ht="40.049999999999997" customHeight="1" x14ac:dyDescent="0.3">
      <c r="A162" s="12" t="s">
        <v>158</v>
      </c>
      <c r="B162" s="13" t="s">
        <v>192</v>
      </c>
      <c r="C162" s="13" t="s">
        <v>199</v>
      </c>
      <c r="D162" s="14" t="s">
        <v>202</v>
      </c>
      <c r="E162" s="14" t="s">
        <v>213</v>
      </c>
      <c r="F162" s="15" t="s">
        <v>218</v>
      </c>
      <c r="G162" s="14" t="s">
        <v>371</v>
      </c>
      <c r="H162" s="13" t="s">
        <v>397</v>
      </c>
      <c r="I162" s="13" t="s">
        <v>394</v>
      </c>
      <c r="J162" s="13" t="s">
        <v>394</v>
      </c>
      <c r="K162" s="13" t="s">
        <v>404</v>
      </c>
      <c r="L162" s="13" t="s">
        <v>409</v>
      </c>
      <c r="M162" s="13">
        <v>3</v>
      </c>
      <c r="N162" s="13" t="s">
        <v>412</v>
      </c>
      <c r="O162" s="13" t="s">
        <v>414</v>
      </c>
      <c r="P162" s="16" t="s">
        <v>535</v>
      </c>
    </row>
    <row r="163" spans="1:16" ht="40.049999999999997" customHeight="1" x14ac:dyDescent="0.3">
      <c r="A163" s="12" t="s">
        <v>159</v>
      </c>
      <c r="B163" s="13" t="s">
        <v>192</v>
      </c>
      <c r="C163" s="13" t="s">
        <v>199</v>
      </c>
      <c r="D163" s="14" t="s">
        <v>202</v>
      </c>
      <c r="E163" s="14" t="s">
        <v>211</v>
      </c>
      <c r="F163" s="15" t="s">
        <v>218</v>
      </c>
      <c r="G163" s="14" t="s">
        <v>372</v>
      </c>
      <c r="H163" s="13" t="s">
        <v>395</v>
      </c>
      <c r="I163" s="13" t="s">
        <v>397</v>
      </c>
      <c r="J163" s="13" t="s">
        <v>397</v>
      </c>
      <c r="K163" s="13" t="s">
        <v>402</v>
      </c>
      <c r="L163" s="13" t="s">
        <v>409</v>
      </c>
      <c r="M163" s="13">
        <v>5</v>
      </c>
      <c r="N163" s="13" t="s">
        <v>381</v>
      </c>
      <c r="O163" s="13" t="s">
        <v>381</v>
      </c>
      <c r="P163" s="16" t="s">
        <v>422</v>
      </c>
    </row>
    <row r="164" spans="1:16" ht="40.049999999999997" customHeight="1" x14ac:dyDescent="0.3">
      <c r="A164" s="12" t="s">
        <v>160</v>
      </c>
      <c r="B164" s="13" t="s">
        <v>192</v>
      </c>
      <c r="C164" s="13" t="s">
        <v>199</v>
      </c>
      <c r="D164" s="14" t="s">
        <v>202</v>
      </c>
      <c r="E164" s="14" t="s">
        <v>213</v>
      </c>
      <c r="F164" s="15" t="s">
        <v>257</v>
      </c>
      <c r="G164" s="14" t="s">
        <v>373</v>
      </c>
      <c r="H164" s="13" t="s">
        <v>394</v>
      </c>
      <c r="I164" s="13" t="s">
        <v>399</v>
      </c>
      <c r="J164" s="13" t="s">
        <v>397</v>
      </c>
      <c r="K164" s="13" t="s">
        <v>402</v>
      </c>
      <c r="L164" s="13" t="s">
        <v>408</v>
      </c>
      <c r="M164" s="13">
        <v>4</v>
      </c>
      <c r="N164" s="13" t="s">
        <v>381</v>
      </c>
      <c r="O164" s="13" t="s">
        <v>414</v>
      </c>
      <c r="P164" s="16" t="s">
        <v>536</v>
      </c>
    </row>
    <row r="165" spans="1:16" ht="40.049999999999997" customHeight="1" x14ac:dyDescent="0.3">
      <c r="A165" s="12" t="s">
        <v>161</v>
      </c>
      <c r="B165" s="13" t="s">
        <v>192</v>
      </c>
      <c r="C165" s="13" t="s">
        <v>199</v>
      </c>
      <c r="D165" s="14" t="s">
        <v>209</v>
      </c>
      <c r="E165" s="14" t="s">
        <v>213</v>
      </c>
      <c r="F165" s="15" t="s">
        <v>218</v>
      </c>
      <c r="G165" s="14" t="s">
        <v>374</v>
      </c>
      <c r="H165" s="13" t="s">
        <v>397</v>
      </c>
      <c r="I165" s="13" t="s">
        <v>394</v>
      </c>
      <c r="J165" s="13" t="s">
        <v>399</v>
      </c>
      <c r="K165" s="13" t="s">
        <v>403</v>
      </c>
      <c r="L165" s="13" t="s">
        <v>408</v>
      </c>
      <c r="M165" s="13">
        <v>3</v>
      </c>
      <c r="N165" s="13" t="s">
        <v>381</v>
      </c>
      <c r="O165" s="13" t="s">
        <v>381</v>
      </c>
      <c r="P165" s="16" t="s">
        <v>537</v>
      </c>
    </row>
    <row r="166" spans="1:16" ht="40.049999999999997" customHeight="1" x14ac:dyDescent="0.3">
      <c r="A166" s="12" t="s">
        <v>162</v>
      </c>
      <c r="B166" s="13" t="s">
        <v>192</v>
      </c>
      <c r="C166" s="13" t="s">
        <v>199</v>
      </c>
      <c r="D166" s="14" t="s">
        <v>202</v>
      </c>
      <c r="E166" s="14" t="s">
        <v>211</v>
      </c>
      <c r="F166" s="15" t="s">
        <v>218</v>
      </c>
      <c r="G166" s="14"/>
      <c r="H166" s="13" t="s">
        <v>397</v>
      </c>
      <c r="I166" s="13" t="s">
        <v>397</v>
      </c>
      <c r="J166" s="13" t="s">
        <v>397</v>
      </c>
      <c r="K166" s="13" t="s">
        <v>403</v>
      </c>
      <c r="L166" s="13" t="s">
        <v>408</v>
      </c>
      <c r="M166" s="13">
        <v>4</v>
      </c>
      <c r="N166" s="13" t="s">
        <v>412</v>
      </c>
      <c r="O166" s="13" t="s">
        <v>381</v>
      </c>
      <c r="P166" s="16"/>
    </row>
    <row r="167" spans="1:16" ht="40.049999999999997" customHeight="1" x14ac:dyDescent="0.3">
      <c r="A167" s="12" t="s">
        <v>163</v>
      </c>
      <c r="B167" s="13" t="s">
        <v>192</v>
      </c>
      <c r="C167" s="13" t="s">
        <v>199</v>
      </c>
      <c r="D167" s="14" t="s">
        <v>202</v>
      </c>
      <c r="E167" s="14" t="s">
        <v>212</v>
      </c>
      <c r="F167" s="15" t="s">
        <v>222</v>
      </c>
      <c r="G167" s="14" t="s">
        <v>375</v>
      </c>
      <c r="H167" s="13" t="s">
        <v>397</v>
      </c>
      <c r="I167" s="13" t="s">
        <v>399</v>
      </c>
      <c r="J167" s="13" t="s">
        <v>399</v>
      </c>
      <c r="K167" s="13" t="s">
        <v>403</v>
      </c>
      <c r="L167" s="13" t="s">
        <v>409</v>
      </c>
      <c r="M167" s="13">
        <v>5</v>
      </c>
      <c r="N167" s="13" t="s">
        <v>412</v>
      </c>
      <c r="O167" s="13" t="s">
        <v>381</v>
      </c>
      <c r="P167" s="16" t="s">
        <v>538</v>
      </c>
    </row>
    <row r="168" spans="1:16" ht="40.049999999999997" customHeight="1" x14ac:dyDescent="0.3">
      <c r="A168" s="12" t="s">
        <v>164</v>
      </c>
      <c r="B168" s="13" t="s">
        <v>192</v>
      </c>
      <c r="C168" s="13" t="s">
        <v>199</v>
      </c>
      <c r="D168" s="14" t="s">
        <v>202</v>
      </c>
      <c r="E168" s="14" t="s">
        <v>212</v>
      </c>
      <c r="F168" s="15" t="s">
        <v>229</v>
      </c>
      <c r="G168" s="14" t="s">
        <v>376</v>
      </c>
      <c r="H168" s="13" t="s">
        <v>396</v>
      </c>
      <c r="I168" s="13" t="s">
        <v>397</v>
      </c>
      <c r="J168" s="13" t="s">
        <v>397</v>
      </c>
      <c r="K168" s="13" t="s">
        <v>403</v>
      </c>
      <c r="L168" s="13" t="s">
        <v>408</v>
      </c>
      <c r="M168" s="13">
        <v>3</v>
      </c>
      <c r="N168" s="13" t="s">
        <v>381</v>
      </c>
      <c r="O168" s="13" t="s">
        <v>381</v>
      </c>
      <c r="P168" s="16" t="s">
        <v>539</v>
      </c>
    </row>
    <row r="169" spans="1:16" ht="40.049999999999997" customHeight="1" x14ac:dyDescent="0.3">
      <c r="A169" s="12" t="s">
        <v>165</v>
      </c>
      <c r="B169" s="13" t="s">
        <v>190</v>
      </c>
      <c r="C169" s="13" t="s">
        <v>199</v>
      </c>
      <c r="D169" s="14" t="s">
        <v>202</v>
      </c>
      <c r="E169" s="14" t="s">
        <v>211</v>
      </c>
      <c r="F169" s="15" t="s">
        <v>218</v>
      </c>
      <c r="G169" s="14"/>
      <c r="H169" s="13" t="s">
        <v>394</v>
      </c>
      <c r="I169" s="13" t="s">
        <v>397</v>
      </c>
      <c r="J169" s="13" t="s">
        <v>399</v>
      </c>
      <c r="K169" s="13" t="s">
        <v>403</v>
      </c>
      <c r="L169" s="13" t="s">
        <v>407</v>
      </c>
      <c r="M169" s="13">
        <v>5</v>
      </c>
      <c r="N169" s="13" t="s">
        <v>381</v>
      </c>
      <c r="O169" s="13" t="s">
        <v>381</v>
      </c>
      <c r="P169" s="16"/>
    </row>
    <row r="170" spans="1:16" ht="40.049999999999997" customHeight="1" x14ac:dyDescent="0.3">
      <c r="A170" s="12" t="s">
        <v>166</v>
      </c>
      <c r="B170" s="13" t="s">
        <v>192</v>
      </c>
      <c r="C170" s="13" t="s">
        <v>199</v>
      </c>
      <c r="D170" s="14" t="s">
        <v>202</v>
      </c>
      <c r="E170" s="14" t="s">
        <v>213</v>
      </c>
      <c r="F170" s="15" t="s">
        <v>218</v>
      </c>
      <c r="G170" s="14"/>
      <c r="H170" s="13" t="s">
        <v>397</v>
      </c>
      <c r="I170" s="13" t="s">
        <v>397</v>
      </c>
      <c r="J170" s="13" t="s">
        <v>397</v>
      </c>
      <c r="K170" s="13" t="s">
        <v>403</v>
      </c>
      <c r="L170" s="13" t="s">
        <v>409</v>
      </c>
      <c r="M170" s="13">
        <v>4</v>
      </c>
      <c r="N170" s="13" t="s">
        <v>381</v>
      </c>
      <c r="O170" s="13" t="s">
        <v>381</v>
      </c>
      <c r="P170" s="16"/>
    </row>
    <row r="171" spans="1:16" ht="40.049999999999997" customHeight="1" x14ac:dyDescent="0.3">
      <c r="A171" s="12" t="s">
        <v>167</v>
      </c>
      <c r="B171" s="13" t="s">
        <v>192</v>
      </c>
      <c r="C171" s="13" t="s">
        <v>199</v>
      </c>
      <c r="D171" s="14" t="s">
        <v>202</v>
      </c>
      <c r="E171" s="14" t="s">
        <v>211</v>
      </c>
      <c r="F171" s="15" t="s">
        <v>218</v>
      </c>
      <c r="G171" s="14" t="s">
        <v>262</v>
      </c>
      <c r="H171" s="13" t="s">
        <v>396</v>
      </c>
      <c r="I171" s="13" t="s">
        <v>395</v>
      </c>
      <c r="J171" s="13" t="s">
        <v>395</v>
      </c>
      <c r="K171" s="13" t="s">
        <v>402</v>
      </c>
      <c r="L171" s="13" t="s">
        <v>407</v>
      </c>
      <c r="M171" s="13">
        <v>4</v>
      </c>
      <c r="N171" s="13" t="s">
        <v>412</v>
      </c>
      <c r="O171" s="13" t="s">
        <v>381</v>
      </c>
      <c r="P171" s="16" t="s">
        <v>540</v>
      </c>
    </row>
    <row r="172" spans="1:16" ht="40.049999999999997" customHeight="1" x14ac:dyDescent="0.3">
      <c r="A172" s="12" t="s">
        <v>168</v>
      </c>
      <c r="B172" s="13" t="s">
        <v>192</v>
      </c>
      <c r="C172" s="13" t="s">
        <v>199</v>
      </c>
      <c r="D172" s="14" t="s">
        <v>204</v>
      </c>
      <c r="E172" s="14" t="s">
        <v>212</v>
      </c>
      <c r="F172" s="15" t="s">
        <v>231</v>
      </c>
      <c r="G172" s="14" t="s">
        <v>377</v>
      </c>
      <c r="H172" s="13" t="s">
        <v>397</v>
      </c>
      <c r="I172" s="13" t="s">
        <v>399</v>
      </c>
      <c r="J172" s="13" t="s">
        <v>394</v>
      </c>
      <c r="K172" s="13" t="s">
        <v>403</v>
      </c>
      <c r="L172" s="13" t="s">
        <v>408</v>
      </c>
      <c r="M172" s="13">
        <v>3</v>
      </c>
      <c r="N172" s="13" t="s">
        <v>412</v>
      </c>
      <c r="O172" s="13" t="s">
        <v>412</v>
      </c>
      <c r="P172" s="16"/>
    </row>
    <row r="173" spans="1:16" ht="40.049999999999997" customHeight="1" x14ac:dyDescent="0.3">
      <c r="A173" s="12" t="s">
        <v>169</v>
      </c>
      <c r="B173" s="13" t="s">
        <v>190</v>
      </c>
      <c r="C173" s="13" t="s">
        <v>198</v>
      </c>
      <c r="D173" s="14" t="s">
        <v>202</v>
      </c>
      <c r="E173" s="14" t="s">
        <v>211</v>
      </c>
      <c r="F173" s="15" t="s">
        <v>207</v>
      </c>
      <c r="G173" s="14" t="s">
        <v>378</v>
      </c>
      <c r="H173" s="13" t="s">
        <v>395</v>
      </c>
      <c r="I173" s="13" t="s">
        <v>399</v>
      </c>
      <c r="J173" s="13" t="s">
        <v>397</v>
      </c>
      <c r="K173" s="13" t="s">
        <v>402</v>
      </c>
      <c r="L173" s="13" t="s">
        <v>409</v>
      </c>
      <c r="M173" s="13">
        <v>4</v>
      </c>
      <c r="N173" s="13" t="s">
        <v>381</v>
      </c>
      <c r="O173" s="13" t="s">
        <v>414</v>
      </c>
      <c r="P173" s="16" t="s">
        <v>541</v>
      </c>
    </row>
    <row r="174" spans="1:16" ht="40.049999999999997" customHeight="1" x14ac:dyDescent="0.3">
      <c r="A174" s="12" t="s">
        <v>170</v>
      </c>
      <c r="B174" s="13" t="s">
        <v>192</v>
      </c>
      <c r="C174" s="13" t="s">
        <v>199</v>
      </c>
      <c r="D174" s="14" t="s">
        <v>202</v>
      </c>
      <c r="E174" s="14" t="s">
        <v>211</v>
      </c>
      <c r="F174" s="15" t="s">
        <v>218</v>
      </c>
      <c r="G174" s="14" t="s">
        <v>379</v>
      </c>
      <c r="H174" s="13" t="s">
        <v>397</v>
      </c>
      <c r="I174" s="13" t="s">
        <v>397</v>
      </c>
      <c r="J174" s="13" t="s">
        <v>399</v>
      </c>
      <c r="K174" s="13" t="s">
        <v>403</v>
      </c>
      <c r="L174" s="13" t="s">
        <v>409</v>
      </c>
      <c r="M174" s="13">
        <v>4</v>
      </c>
      <c r="N174" s="13" t="s">
        <v>412</v>
      </c>
      <c r="O174" s="13" t="s">
        <v>414</v>
      </c>
      <c r="P174" s="16" t="s">
        <v>542</v>
      </c>
    </row>
    <row r="175" spans="1:16" ht="40.049999999999997" customHeight="1" x14ac:dyDescent="0.3">
      <c r="A175" s="12" t="s">
        <v>171</v>
      </c>
      <c r="B175" s="13" t="s">
        <v>192</v>
      </c>
      <c r="C175" s="13" t="s">
        <v>198</v>
      </c>
      <c r="D175" s="14" t="s">
        <v>202</v>
      </c>
      <c r="E175" s="14" t="s">
        <v>211</v>
      </c>
      <c r="F175" s="15" t="s">
        <v>233</v>
      </c>
      <c r="G175" s="14" t="s">
        <v>380</v>
      </c>
      <c r="H175" s="13" t="s">
        <v>396</v>
      </c>
      <c r="I175" s="13" t="s">
        <v>397</v>
      </c>
      <c r="J175" s="13" t="s">
        <v>397</v>
      </c>
      <c r="K175" s="13" t="s">
        <v>402</v>
      </c>
      <c r="L175" s="13" t="s">
        <v>409</v>
      </c>
      <c r="M175" s="13">
        <v>5</v>
      </c>
      <c r="N175" s="13" t="s">
        <v>412</v>
      </c>
      <c r="O175" s="13" t="s">
        <v>381</v>
      </c>
      <c r="P175" s="16"/>
    </row>
    <row r="176" spans="1:16" ht="40.049999999999997" customHeight="1" x14ac:dyDescent="0.3">
      <c r="A176" s="12" t="s">
        <v>172</v>
      </c>
      <c r="B176" s="13" t="s">
        <v>192</v>
      </c>
      <c r="C176" s="13" t="s">
        <v>199</v>
      </c>
      <c r="D176" s="14" t="s">
        <v>202</v>
      </c>
      <c r="E176" s="14" t="s">
        <v>212</v>
      </c>
      <c r="F176" s="15" t="s">
        <v>231</v>
      </c>
      <c r="G176" s="14"/>
      <c r="H176" s="13" t="s">
        <v>395</v>
      </c>
      <c r="I176" s="13" t="s">
        <v>395</v>
      </c>
      <c r="J176" s="13" t="s">
        <v>399</v>
      </c>
      <c r="K176" s="13" t="s">
        <v>402</v>
      </c>
      <c r="L176" s="13" t="s">
        <v>409</v>
      </c>
      <c r="M176" s="13">
        <v>5</v>
      </c>
      <c r="N176" s="13" t="s">
        <v>412</v>
      </c>
      <c r="O176" s="13" t="s">
        <v>381</v>
      </c>
      <c r="P176" s="16" t="s">
        <v>543</v>
      </c>
    </row>
    <row r="177" spans="1:16" ht="40.049999999999997" customHeight="1" x14ac:dyDescent="0.3">
      <c r="A177" s="12" t="s">
        <v>173</v>
      </c>
      <c r="B177" s="13" t="s">
        <v>192</v>
      </c>
      <c r="C177" s="13" t="s">
        <v>199</v>
      </c>
      <c r="D177" s="14" t="s">
        <v>201</v>
      </c>
      <c r="E177" s="14" t="s">
        <v>212</v>
      </c>
      <c r="F177" s="15" t="s">
        <v>239</v>
      </c>
      <c r="G177" s="14" t="s">
        <v>381</v>
      </c>
      <c r="H177" s="13" t="s">
        <v>397</v>
      </c>
      <c r="I177" s="13" t="s">
        <v>394</v>
      </c>
      <c r="J177" s="13" t="s">
        <v>394</v>
      </c>
      <c r="K177" s="13" t="s">
        <v>402</v>
      </c>
      <c r="L177" s="13" t="s">
        <v>409</v>
      </c>
      <c r="M177" s="13">
        <v>5</v>
      </c>
      <c r="N177" s="13" t="s">
        <v>381</v>
      </c>
      <c r="O177" s="13" t="s">
        <v>381</v>
      </c>
      <c r="P177" s="16"/>
    </row>
    <row r="178" spans="1:16" ht="40.049999999999997" customHeight="1" x14ac:dyDescent="0.3">
      <c r="A178" s="12" t="s">
        <v>174</v>
      </c>
      <c r="B178" s="13" t="s">
        <v>192</v>
      </c>
      <c r="C178" s="13" t="s">
        <v>199</v>
      </c>
      <c r="D178" s="14" t="s">
        <v>202</v>
      </c>
      <c r="E178" s="14" t="s">
        <v>212</v>
      </c>
      <c r="F178" s="15" t="s">
        <v>251</v>
      </c>
      <c r="G178" s="14"/>
      <c r="H178" s="13" t="s">
        <v>397</v>
      </c>
      <c r="I178" s="13" t="s">
        <v>397</v>
      </c>
      <c r="J178" s="13" t="s">
        <v>397</v>
      </c>
      <c r="K178" s="13" t="s">
        <v>402</v>
      </c>
      <c r="L178" s="13" t="s">
        <v>407</v>
      </c>
      <c r="M178" s="13">
        <v>4</v>
      </c>
      <c r="N178" s="13" t="s">
        <v>412</v>
      </c>
      <c r="O178" s="13" t="s">
        <v>381</v>
      </c>
      <c r="P178" s="16" t="s">
        <v>544</v>
      </c>
    </row>
    <row r="179" spans="1:16" ht="40.049999999999997" customHeight="1" x14ac:dyDescent="0.3">
      <c r="A179" s="12" t="s">
        <v>175</v>
      </c>
      <c r="B179" s="13" t="s">
        <v>192</v>
      </c>
      <c r="C179" s="13" t="s">
        <v>199</v>
      </c>
      <c r="D179" s="14" t="s">
        <v>202</v>
      </c>
      <c r="E179" s="14" t="s">
        <v>212</v>
      </c>
      <c r="F179" s="15" t="s">
        <v>218</v>
      </c>
      <c r="G179" s="14" t="s">
        <v>382</v>
      </c>
      <c r="H179" s="13" t="s">
        <v>394</v>
      </c>
      <c r="I179" s="13" t="s">
        <v>394</v>
      </c>
      <c r="J179" s="13" t="s">
        <v>397</v>
      </c>
      <c r="K179" s="13" t="s">
        <v>403</v>
      </c>
      <c r="L179" s="13" t="s">
        <v>408</v>
      </c>
      <c r="M179" s="13">
        <v>5</v>
      </c>
      <c r="N179" s="13" t="s">
        <v>381</v>
      </c>
      <c r="O179" s="13" t="s">
        <v>381</v>
      </c>
      <c r="P179" s="16" t="s">
        <v>545</v>
      </c>
    </row>
    <row r="180" spans="1:16" ht="40.049999999999997" customHeight="1" x14ac:dyDescent="0.3">
      <c r="A180" s="12" t="s">
        <v>176</v>
      </c>
      <c r="B180" s="13" t="s">
        <v>192</v>
      </c>
      <c r="C180" s="13" t="s">
        <v>199</v>
      </c>
      <c r="D180" s="14" t="s">
        <v>202</v>
      </c>
      <c r="E180" s="14" t="s">
        <v>213</v>
      </c>
      <c r="F180" s="15" t="s">
        <v>218</v>
      </c>
      <c r="G180" s="14" t="s">
        <v>383</v>
      </c>
      <c r="H180" s="13" t="s">
        <v>397</v>
      </c>
      <c r="I180" s="13" t="s">
        <v>397</v>
      </c>
      <c r="J180" s="13" t="s">
        <v>394</v>
      </c>
      <c r="K180" s="13" t="s">
        <v>403</v>
      </c>
      <c r="L180" s="13" t="s">
        <v>408</v>
      </c>
      <c r="M180" s="13">
        <v>3</v>
      </c>
      <c r="N180" s="13" t="s">
        <v>381</v>
      </c>
      <c r="O180" s="13" t="s">
        <v>381</v>
      </c>
      <c r="P180" s="16"/>
    </row>
    <row r="181" spans="1:16" ht="40.049999999999997" customHeight="1" x14ac:dyDescent="0.3">
      <c r="A181" s="12" t="s">
        <v>177</v>
      </c>
      <c r="B181" s="13" t="s">
        <v>192</v>
      </c>
      <c r="C181" s="13" t="s">
        <v>199</v>
      </c>
      <c r="D181" s="14" t="s">
        <v>202</v>
      </c>
      <c r="E181" s="14" t="s">
        <v>211</v>
      </c>
      <c r="F181" s="15" t="s">
        <v>251</v>
      </c>
      <c r="G181" s="14" t="s">
        <v>384</v>
      </c>
      <c r="H181" s="13" t="s">
        <v>396</v>
      </c>
      <c r="I181" s="13" t="s">
        <v>397</v>
      </c>
      <c r="J181" s="13" t="s">
        <v>397</v>
      </c>
      <c r="K181" s="13" t="s">
        <v>403</v>
      </c>
      <c r="L181" s="13" t="s">
        <v>407</v>
      </c>
      <c r="M181" s="13">
        <v>5</v>
      </c>
      <c r="N181" s="13" t="s">
        <v>381</v>
      </c>
      <c r="O181" s="13" t="s">
        <v>381</v>
      </c>
      <c r="P181" s="16" t="s">
        <v>546</v>
      </c>
    </row>
    <row r="182" spans="1:16" ht="40.049999999999997" customHeight="1" x14ac:dyDescent="0.3">
      <c r="A182" s="12" t="s">
        <v>178</v>
      </c>
      <c r="B182" s="13" t="s">
        <v>192</v>
      </c>
      <c r="C182" s="13" t="s">
        <v>199</v>
      </c>
      <c r="D182" s="14" t="s">
        <v>202</v>
      </c>
      <c r="E182" s="14" t="s">
        <v>212</v>
      </c>
      <c r="F182" s="15" t="s">
        <v>258</v>
      </c>
      <c r="G182" s="14" t="s">
        <v>385</v>
      </c>
      <c r="H182" s="13" t="s">
        <v>397</v>
      </c>
      <c r="I182" s="13" t="s">
        <v>397</v>
      </c>
      <c r="J182" s="13" t="s">
        <v>399</v>
      </c>
      <c r="K182" s="13" t="s">
        <v>402</v>
      </c>
      <c r="L182" s="13" t="s">
        <v>409</v>
      </c>
      <c r="M182" s="13">
        <v>5</v>
      </c>
      <c r="N182" s="13" t="s">
        <v>412</v>
      </c>
      <c r="O182" s="13" t="s">
        <v>381</v>
      </c>
      <c r="P182" s="16" t="s">
        <v>547</v>
      </c>
    </row>
    <row r="183" spans="1:16" ht="40.049999999999997" customHeight="1" x14ac:dyDescent="0.3">
      <c r="A183" s="12" t="s">
        <v>179</v>
      </c>
      <c r="B183" s="13" t="s">
        <v>192</v>
      </c>
      <c r="C183" s="13" t="s">
        <v>198</v>
      </c>
      <c r="D183" s="14" t="s">
        <v>202</v>
      </c>
      <c r="E183" s="14" t="s">
        <v>213</v>
      </c>
      <c r="F183" s="15" t="s">
        <v>224</v>
      </c>
      <c r="G183" s="14" t="s">
        <v>386</v>
      </c>
      <c r="H183" s="13" t="s">
        <v>394</v>
      </c>
      <c r="I183" s="13" t="s">
        <v>397</v>
      </c>
      <c r="J183" s="13" t="s">
        <v>394</v>
      </c>
      <c r="K183" s="13" t="s">
        <v>402</v>
      </c>
      <c r="L183" s="13" t="s">
        <v>407</v>
      </c>
      <c r="M183" s="13">
        <v>5</v>
      </c>
      <c r="N183" s="13" t="s">
        <v>381</v>
      </c>
      <c r="O183" s="13" t="s">
        <v>381</v>
      </c>
      <c r="P183" s="16" t="s">
        <v>548</v>
      </c>
    </row>
    <row r="184" spans="1:16" ht="40.049999999999997" customHeight="1" x14ac:dyDescent="0.3">
      <c r="A184" s="12" t="s">
        <v>180</v>
      </c>
      <c r="B184" s="13" t="s">
        <v>192</v>
      </c>
      <c r="C184" s="13" t="s">
        <v>199</v>
      </c>
      <c r="D184" s="14" t="s">
        <v>206</v>
      </c>
      <c r="E184" s="14" t="s">
        <v>212</v>
      </c>
      <c r="F184" s="15" t="s">
        <v>226</v>
      </c>
      <c r="G184" s="14" t="s">
        <v>387</v>
      </c>
      <c r="H184" s="13" t="s">
        <v>395</v>
      </c>
      <c r="I184" s="13" t="s">
        <v>395</v>
      </c>
      <c r="J184" s="13" t="s">
        <v>395</v>
      </c>
      <c r="K184" s="13" t="s">
        <v>405</v>
      </c>
      <c r="L184" s="13" t="s">
        <v>409</v>
      </c>
      <c r="M184" s="13">
        <v>1</v>
      </c>
      <c r="N184" s="13" t="s">
        <v>381</v>
      </c>
      <c r="O184" s="13" t="s">
        <v>381</v>
      </c>
      <c r="P184" s="16" t="s">
        <v>549</v>
      </c>
    </row>
    <row r="185" spans="1:16" ht="40.049999999999997" customHeight="1" x14ac:dyDescent="0.3">
      <c r="A185" s="12" t="s">
        <v>181</v>
      </c>
      <c r="B185" s="13" t="s">
        <v>192</v>
      </c>
      <c r="C185" s="13" t="s">
        <v>199</v>
      </c>
      <c r="D185" s="14" t="s">
        <v>207</v>
      </c>
      <c r="E185" s="14" t="s">
        <v>213</v>
      </c>
      <c r="F185" s="15" t="s">
        <v>240</v>
      </c>
      <c r="G185" s="14" t="s">
        <v>292</v>
      </c>
      <c r="H185" s="13" t="s">
        <v>394</v>
      </c>
      <c r="I185" s="13" t="s">
        <v>397</v>
      </c>
      <c r="J185" s="13" t="s">
        <v>394</v>
      </c>
      <c r="K185" s="13" t="s">
        <v>403</v>
      </c>
      <c r="L185" s="13" t="s">
        <v>408</v>
      </c>
      <c r="M185" s="13">
        <v>4</v>
      </c>
      <c r="N185" s="13" t="s">
        <v>381</v>
      </c>
      <c r="O185" s="13" t="s">
        <v>381</v>
      </c>
      <c r="P185" s="16" t="s">
        <v>550</v>
      </c>
    </row>
    <row r="186" spans="1:16" ht="40.049999999999997" customHeight="1" x14ac:dyDescent="0.3">
      <c r="A186" s="12" t="s">
        <v>182</v>
      </c>
      <c r="B186" s="13" t="s">
        <v>192</v>
      </c>
      <c r="C186" s="13" t="s">
        <v>199</v>
      </c>
      <c r="D186" s="14" t="s">
        <v>202</v>
      </c>
      <c r="E186" s="14" t="s">
        <v>214</v>
      </c>
      <c r="F186" s="15" t="s">
        <v>232</v>
      </c>
      <c r="G186" s="14" t="s">
        <v>388</v>
      </c>
      <c r="H186" s="13" t="s">
        <v>395</v>
      </c>
      <c r="I186" s="13" t="s">
        <v>395</v>
      </c>
      <c r="J186" s="13" t="s">
        <v>395</v>
      </c>
      <c r="K186" s="13" t="s">
        <v>405</v>
      </c>
      <c r="L186" s="13" t="s">
        <v>407</v>
      </c>
      <c r="M186" s="13">
        <v>3</v>
      </c>
      <c r="N186" s="13" t="s">
        <v>412</v>
      </c>
      <c r="O186" s="13" t="s">
        <v>414</v>
      </c>
      <c r="P186" s="16" t="s">
        <v>551</v>
      </c>
    </row>
    <row r="187" spans="1:16" ht="40.049999999999997" customHeight="1" x14ac:dyDescent="0.3">
      <c r="A187" s="12" t="s">
        <v>183</v>
      </c>
      <c r="B187" s="13" t="s">
        <v>194</v>
      </c>
      <c r="C187" s="13" t="s">
        <v>198</v>
      </c>
      <c r="D187" s="14" t="s">
        <v>206</v>
      </c>
      <c r="E187" s="14" t="s">
        <v>213</v>
      </c>
      <c r="F187" s="15" t="s">
        <v>259</v>
      </c>
      <c r="G187" s="14" t="s">
        <v>389</v>
      </c>
      <c r="H187" s="13" t="s">
        <v>394</v>
      </c>
      <c r="I187" s="13" t="s">
        <v>399</v>
      </c>
      <c r="J187" s="13" t="s">
        <v>395</v>
      </c>
      <c r="K187" s="13" t="s">
        <v>403</v>
      </c>
      <c r="L187" s="13" t="s">
        <v>407</v>
      </c>
      <c r="M187" s="13">
        <v>5</v>
      </c>
      <c r="N187" s="13" t="s">
        <v>412</v>
      </c>
      <c r="O187" s="13" t="s">
        <v>381</v>
      </c>
      <c r="P187" s="16" t="s">
        <v>552</v>
      </c>
    </row>
    <row r="188" spans="1:16" ht="40.049999999999997" customHeight="1" x14ac:dyDescent="0.3">
      <c r="A188" s="12" t="s">
        <v>184</v>
      </c>
      <c r="B188" s="13" t="s">
        <v>192</v>
      </c>
      <c r="C188" s="13" t="s">
        <v>199</v>
      </c>
      <c r="D188" s="14" t="s">
        <v>202</v>
      </c>
      <c r="E188" s="14" t="s">
        <v>212</v>
      </c>
      <c r="F188" s="15" t="s">
        <v>223</v>
      </c>
      <c r="G188" s="14" t="s">
        <v>390</v>
      </c>
      <c r="H188" s="13" t="s">
        <v>397</v>
      </c>
      <c r="I188" s="13" t="s">
        <v>397</v>
      </c>
      <c r="J188" s="13" t="s">
        <v>397</v>
      </c>
      <c r="K188" s="13" t="s">
        <v>403</v>
      </c>
      <c r="L188" s="13" t="s">
        <v>407</v>
      </c>
      <c r="M188" s="13">
        <v>5</v>
      </c>
      <c r="N188" s="13" t="s">
        <v>381</v>
      </c>
      <c r="O188" s="13" t="s">
        <v>381</v>
      </c>
      <c r="P188" s="16" t="s">
        <v>553</v>
      </c>
    </row>
    <row r="189" spans="1:16" ht="40.049999999999997" customHeight="1" x14ac:dyDescent="0.3">
      <c r="A189" s="12" t="s">
        <v>185</v>
      </c>
      <c r="B189" s="13" t="s">
        <v>192</v>
      </c>
      <c r="C189" s="13" t="s">
        <v>199</v>
      </c>
      <c r="D189" s="14" t="s">
        <v>202</v>
      </c>
      <c r="E189" s="14" t="s">
        <v>212</v>
      </c>
      <c r="F189" s="15" t="s">
        <v>223</v>
      </c>
      <c r="G189" s="14"/>
      <c r="H189" s="13" t="s">
        <v>397</v>
      </c>
      <c r="I189" s="13" t="s">
        <v>395</v>
      </c>
      <c r="J189" s="13" t="s">
        <v>397</v>
      </c>
      <c r="K189" s="13" t="s">
        <v>403</v>
      </c>
      <c r="L189" s="13" t="s">
        <v>407</v>
      </c>
      <c r="M189" s="13">
        <v>4</v>
      </c>
      <c r="N189" s="13" t="s">
        <v>381</v>
      </c>
      <c r="O189" s="13" t="s">
        <v>381</v>
      </c>
      <c r="P189" s="16"/>
    </row>
    <row r="190" spans="1:16" ht="40.049999999999997" customHeight="1" x14ac:dyDescent="0.3">
      <c r="A190" s="12" t="s">
        <v>186</v>
      </c>
      <c r="B190" s="13" t="s">
        <v>192</v>
      </c>
      <c r="C190" s="13" t="s">
        <v>199</v>
      </c>
      <c r="D190" s="14" t="s">
        <v>202</v>
      </c>
      <c r="E190" s="14" t="s">
        <v>213</v>
      </c>
      <c r="F190" s="15" t="s">
        <v>226</v>
      </c>
      <c r="G190" s="14" t="s">
        <v>391</v>
      </c>
      <c r="H190" s="13" t="s">
        <v>397</v>
      </c>
      <c r="I190" s="13" t="s">
        <v>397</v>
      </c>
      <c r="J190" s="13" t="s">
        <v>395</v>
      </c>
      <c r="K190" s="13" t="s">
        <v>402</v>
      </c>
      <c r="L190" s="13" t="s">
        <v>407</v>
      </c>
      <c r="M190" s="13">
        <v>5</v>
      </c>
      <c r="N190" s="13" t="s">
        <v>412</v>
      </c>
      <c r="O190" s="13" t="s">
        <v>412</v>
      </c>
      <c r="P190" s="16" t="s">
        <v>554</v>
      </c>
    </row>
    <row r="191" spans="1:16" ht="40.049999999999997" customHeight="1" x14ac:dyDescent="0.3">
      <c r="A191" s="12" t="s">
        <v>187</v>
      </c>
      <c r="B191" s="13" t="s">
        <v>190</v>
      </c>
      <c r="C191" s="13" t="s">
        <v>199</v>
      </c>
      <c r="D191" s="14" t="s">
        <v>202</v>
      </c>
      <c r="E191" s="14" t="s">
        <v>212</v>
      </c>
      <c r="F191" s="15" t="s">
        <v>236</v>
      </c>
      <c r="G191" s="14" t="s">
        <v>262</v>
      </c>
      <c r="H191" s="13" t="s">
        <v>394</v>
      </c>
      <c r="I191" s="13" t="s">
        <v>397</v>
      </c>
      <c r="J191" s="13" t="s">
        <v>397</v>
      </c>
      <c r="K191" s="13" t="s">
        <v>403</v>
      </c>
      <c r="L191" s="13" t="s">
        <v>407</v>
      </c>
      <c r="M191" s="13">
        <v>4</v>
      </c>
      <c r="N191" s="13" t="s">
        <v>381</v>
      </c>
      <c r="O191" s="13" t="s">
        <v>412</v>
      </c>
      <c r="P191" s="16"/>
    </row>
    <row r="192" spans="1:16" ht="40.049999999999997" customHeight="1" x14ac:dyDescent="0.3">
      <c r="A192" s="12" t="s">
        <v>188</v>
      </c>
      <c r="B192" s="13" t="s">
        <v>192</v>
      </c>
      <c r="C192" s="13" t="s">
        <v>199</v>
      </c>
      <c r="D192" s="14" t="s">
        <v>202</v>
      </c>
      <c r="E192" s="14" t="s">
        <v>211</v>
      </c>
      <c r="F192" s="15" t="s">
        <v>218</v>
      </c>
      <c r="G192" s="14" t="s">
        <v>392</v>
      </c>
      <c r="H192" s="13" t="s">
        <v>395</v>
      </c>
      <c r="I192" s="13" t="s">
        <v>395</v>
      </c>
      <c r="J192" s="13" t="s">
        <v>395</v>
      </c>
      <c r="K192" s="13" t="s">
        <v>403</v>
      </c>
      <c r="L192" s="13" t="s">
        <v>409</v>
      </c>
      <c r="M192" s="13">
        <v>4</v>
      </c>
      <c r="N192" s="13" t="s">
        <v>412</v>
      </c>
      <c r="O192" s="13" t="s">
        <v>414</v>
      </c>
      <c r="P192" s="16" t="s">
        <v>555</v>
      </c>
    </row>
    <row r="193" spans="1:16" ht="40.049999999999997" customHeight="1" thickBot="1" x14ac:dyDescent="0.35">
      <c r="A193" s="17" t="s">
        <v>189</v>
      </c>
      <c r="B193" s="18" t="s">
        <v>190</v>
      </c>
      <c r="C193" s="18" t="s">
        <v>199</v>
      </c>
      <c r="D193" s="19" t="s">
        <v>202</v>
      </c>
      <c r="E193" s="19" t="s">
        <v>214</v>
      </c>
      <c r="F193" s="20" t="s">
        <v>232</v>
      </c>
      <c r="G193" s="19" t="s">
        <v>325</v>
      </c>
      <c r="H193" s="18" t="s">
        <v>395</v>
      </c>
      <c r="I193" s="18" t="s">
        <v>395</v>
      </c>
      <c r="J193" s="18" t="s">
        <v>395</v>
      </c>
      <c r="K193" s="18" t="s">
        <v>402</v>
      </c>
      <c r="L193" s="18" t="s">
        <v>407</v>
      </c>
      <c r="M193" s="18">
        <v>5</v>
      </c>
      <c r="N193" s="18" t="s">
        <v>381</v>
      </c>
      <c r="O193" s="18" t="s">
        <v>381</v>
      </c>
      <c r="P193" s="21" t="s">
        <v>412</v>
      </c>
    </row>
    <row r="194" spans="1:16" ht="15" thickTop="1" x14ac:dyDescent="0.3"/>
    <row r="195" spans="1:16" ht="32.549999999999997" customHeight="1" x14ac:dyDescent="0.3">
      <c r="G195" s="34" t="s">
        <v>557</v>
      </c>
      <c r="H195" s="34"/>
      <c r="I195" s="34"/>
      <c r="J195" s="34"/>
    </row>
    <row r="200" spans="1:16" x14ac:dyDescent="0.3">
      <c r="G200"/>
    </row>
    <row r="207" spans="1:16" x14ac:dyDescent="0.3">
      <c r="N207" s="1"/>
      <c r="O207"/>
      <c r="P207"/>
    </row>
    <row r="208" spans="1:16" x14ac:dyDescent="0.3">
      <c r="N208" s="1"/>
      <c r="O208"/>
      <c r="P208"/>
    </row>
    <row r="209" spans="12:16" x14ac:dyDescent="0.3">
      <c r="L209" s="26"/>
      <c r="M209" s="26"/>
      <c r="N209" s="1"/>
      <c r="O209"/>
      <c r="P209"/>
    </row>
    <row r="210" spans="12:16" x14ac:dyDescent="0.3">
      <c r="L210" s="26"/>
      <c r="M210" s="26"/>
      <c r="N210" s="1"/>
      <c r="O210"/>
      <c r="P210"/>
    </row>
    <row r="211" spans="12:16" x14ac:dyDescent="0.3">
      <c r="L211" s="26"/>
      <c r="M211" s="26"/>
      <c r="O211" s="1"/>
      <c r="P211"/>
    </row>
    <row r="212" spans="12:16" x14ac:dyDescent="0.3">
      <c r="L212" s="26"/>
      <c r="M212" s="26"/>
    </row>
    <row r="213" spans="12:16" x14ac:dyDescent="0.3">
      <c r="L213" s="26"/>
      <c r="M213" s="26"/>
    </row>
    <row r="214" spans="12:16" x14ac:dyDescent="0.3">
      <c r="L214" s="36" t="s">
        <v>558</v>
      </c>
      <c r="M214" s="37"/>
      <c r="N214" s="37"/>
      <c r="O214" s="37"/>
    </row>
    <row r="215" spans="12:16" x14ac:dyDescent="0.3">
      <c r="L215" s="37"/>
      <c r="M215" s="37"/>
      <c r="N215" s="37"/>
      <c r="O215" s="37"/>
    </row>
    <row r="216" spans="12:16" x14ac:dyDescent="0.3">
      <c r="L216" s="38" t="s">
        <v>559</v>
      </c>
      <c r="M216" s="38"/>
      <c r="N216" s="35">
        <f>COUNTIF(L4:L193,"Real-life")</f>
        <v>69</v>
      </c>
      <c r="O216" s="35"/>
    </row>
    <row r="217" spans="12:16" x14ac:dyDescent="0.3">
      <c r="L217" s="38"/>
      <c r="M217" s="38"/>
      <c r="N217" s="35"/>
      <c r="O217" s="35"/>
    </row>
    <row r="218" spans="12:16" x14ac:dyDescent="0.3">
      <c r="L218" s="38" t="s">
        <v>560</v>
      </c>
      <c r="M218" s="38"/>
      <c r="N218" s="35">
        <f>COUNTIF(L4:L193,"Online")</f>
        <v>20</v>
      </c>
      <c r="O218" s="35"/>
    </row>
    <row r="219" spans="12:16" x14ac:dyDescent="0.3">
      <c r="L219" s="38"/>
      <c r="M219" s="38"/>
      <c r="N219" s="35"/>
      <c r="O219" s="35"/>
    </row>
    <row r="220" spans="12:16" x14ac:dyDescent="0.3">
      <c r="L220" s="38" t="s">
        <v>561</v>
      </c>
      <c r="M220" s="38"/>
      <c r="N220" s="35">
        <f>COUNTIF(L4:L193,"Both equally")</f>
        <v>101</v>
      </c>
      <c r="O220" s="35"/>
    </row>
    <row r="221" spans="12:16" x14ac:dyDescent="0.3">
      <c r="L221" s="38"/>
      <c r="M221" s="38"/>
      <c r="N221" s="35"/>
      <c r="O221" s="35"/>
    </row>
    <row r="243" spans="11:16" ht="14.55" customHeight="1" x14ac:dyDescent="0.3">
      <c r="K243" s="39" t="s">
        <v>562</v>
      </c>
      <c r="L243" s="39"/>
      <c r="M243" s="39"/>
      <c r="N243" s="39"/>
      <c r="O243" s="39"/>
      <c r="P243" s="39"/>
    </row>
    <row r="244" spans="11:16" ht="14.55" customHeight="1" x14ac:dyDescent="0.3">
      <c r="K244" s="39"/>
      <c r="L244" s="39"/>
      <c r="M244" s="39"/>
      <c r="N244" s="39"/>
      <c r="O244" s="39"/>
      <c r="P244" s="39"/>
    </row>
    <row r="245" spans="11:16" ht="14.55" customHeight="1" x14ac:dyDescent="0.3">
      <c r="K245" s="39"/>
      <c r="L245" s="39"/>
      <c r="M245" s="39"/>
      <c r="N245" s="39"/>
      <c r="O245" s="39"/>
      <c r="P245" s="39"/>
    </row>
    <row r="246" spans="11:16" x14ac:dyDescent="0.3">
      <c r="K246" s="38" t="s">
        <v>563</v>
      </c>
      <c r="L246" s="35"/>
      <c r="M246" s="38">
        <v>1</v>
      </c>
      <c r="N246" s="38"/>
      <c r="O246" s="35">
        <f>COUNTIF(M3:M193,1)</f>
        <v>7</v>
      </c>
      <c r="P246" s="35"/>
    </row>
    <row r="247" spans="11:16" x14ac:dyDescent="0.3">
      <c r="K247" s="35"/>
      <c r="L247" s="35"/>
      <c r="M247" s="38"/>
      <c r="N247" s="38"/>
      <c r="O247" s="35"/>
      <c r="P247" s="35"/>
    </row>
    <row r="248" spans="11:16" x14ac:dyDescent="0.3">
      <c r="K248" s="35"/>
      <c r="L248" s="35"/>
      <c r="M248" s="38">
        <v>2</v>
      </c>
      <c r="N248" s="38"/>
      <c r="O248" s="35">
        <f>COUNTIF(M3:M193,2)</f>
        <v>6</v>
      </c>
      <c r="P248" s="35"/>
    </row>
    <row r="249" spans="11:16" x14ac:dyDescent="0.3">
      <c r="K249" s="35"/>
      <c r="L249" s="35"/>
      <c r="M249" s="38"/>
      <c r="N249" s="38"/>
      <c r="O249" s="35"/>
      <c r="P249" s="35"/>
    </row>
    <row r="250" spans="11:16" x14ac:dyDescent="0.3">
      <c r="K250" s="35"/>
      <c r="L250" s="35"/>
      <c r="M250" s="38">
        <v>3</v>
      </c>
      <c r="N250" s="38"/>
      <c r="O250" s="35">
        <f>COUNTIF(M3:M193,3)</f>
        <v>45</v>
      </c>
      <c r="P250" s="35"/>
    </row>
    <row r="251" spans="11:16" x14ac:dyDescent="0.3">
      <c r="K251" s="35"/>
      <c r="L251" s="35"/>
      <c r="M251" s="38"/>
      <c r="N251" s="38"/>
      <c r="O251" s="35"/>
      <c r="P251" s="35"/>
    </row>
    <row r="252" spans="11:16" x14ac:dyDescent="0.3">
      <c r="K252" s="35"/>
      <c r="L252" s="35"/>
      <c r="M252" s="35">
        <v>4</v>
      </c>
      <c r="N252" s="35"/>
      <c r="O252" s="35">
        <f>COUNTIF(M3:M193,4)</f>
        <v>69</v>
      </c>
      <c r="P252" s="35"/>
    </row>
    <row r="253" spans="11:16" x14ac:dyDescent="0.3">
      <c r="K253" s="35"/>
      <c r="L253" s="35"/>
      <c r="M253" s="35"/>
      <c r="N253" s="35"/>
      <c r="O253" s="35"/>
      <c r="P253" s="35"/>
    </row>
    <row r="254" spans="11:16" x14ac:dyDescent="0.3">
      <c r="K254" s="38" t="s">
        <v>564</v>
      </c>
      <c r="L254" s="35"/>
      <c r="M254" s="35">
        <v>5</v>
      </c>
      <c r="N254" s="35"/>
      <c r="O254" s="35">
        <f>COUNTIF(M3:M193,5)</f>
        <v>64</v>
      </c>
      <c r="P254" s="35"/>
    </row>
    <row r="255" spans="11:16" x14ac:dyDescent="0.3">
      <c r="K255" s="35"/>
      <c r="L255" s="35"/>
      <c r="M255" s="35"/>
      <c r="N255" s="35"/>
      <c r="O255" s="35"/>
      <c r="P255" s="35"/>
    </row>
    <row r="258" spans="11:14" x14ac:dyDescent="0.3">
      <c r="K258" s="36" t="s">
        <v>569</v>
      </c>
      <c r="L258" s="37"/>
      <c r="M258" s="40">
        <f>AVERAGE(M3:M193)</f>
        <v>3.9267015706806281</v>
      </c>
      <c r="N258" s="40"/>
    </row>
    <row r="259" spans="11:14" x14ac:dyDescent="0.3">
      <c r="K259" s="37"/>
      <c r="L259" s="37"/>
      <c r="M259" s="40"/>
      <c r="N259" s="40"/>
    </row>
    <row r="279" spans="12:15" x14ac:dyDescent="0.3">
      <c r="L279" s="39" t="s">
        <v>565</v>
      </c>
      <c r="M279" s="39"/>
      <c r="N279" s="39"/>
      <c r="O279" s="39"/>
    </row>
    <row r="280" spans="12:15" ht="14.55" customHeight="1" x14ac:dyDescent="0.3">
      <c r="L280" s="39"/>
      <c r="M280" s="39"/>
      <c r="N280" s="39"/>
      <c r="O280" s="39"/>
    </row>
    <row r="281" spans="12:15" x14ac:dyDescent="0.3">
      <c r="L281" s="39"/>
      <c r="M281" s="39"/>
      <c r="N281" s="39"/>
      <c r="O281" s="39"/>
    </row>
    <row r="282" spans="12:15" x14ac:dyDescent="0.3">
      <c r="L282" s="38" t="s">
        <v>566</v>
      </c>
      <c r="M282" s="38"/>
      <c r="N282" s="35">
        <f>COUNTIF(N4:N193,"Yes")</f>
        <v>104</v>
      </c>
      <c r="O282" s="35"/>
    </row>
    <row r="283" spans="12:15" x14ac:dyDescent="0.3">
      <c r="L283" s="38"/>
      <c r="M283" s="38"/>
      <c r="N283" s="35"/>
      <c r="O283" s="35"/>
    </row>
    <row r="284" spans="12:15" x14ac:dyDescent="0.3">
      <c r="L284" s="38" t="s">
        <v>567</v>
      </c>
      <c r="M284" s="38"/>
      <c r="N284" s="35">
        <f>COUNTIF(N4:N193,"No")</f>
        <v>86</v>
      </c>
      <c r="O284" s="35"/>
    </row>
    <row r="285" spans="12:15" x14ac:dyDescent="0.3">
      <c r="L285" s="38"/>
      <c r="M285" s="38"/>
      <c r="N285" s="35"/>
      <c r="O285" s="35"/>
    </row>
    <row r="286" spans="12:15" ht="14.55" customHeight="1" x14ac:dyDescent="0.3">
      <c r="L286" s="27"/>
      <c r="M286" s="27"/>
      <c r="N286" s="26"/>
      <c r="O286" s="26"/>
    </row>
    <row r="287" spans="12:15" ht="14.55" customHeight="1" x14ac:dyDescent="0.3">
      <c r="L287" s="27"/>
      <c r="M287" s="27"/>
      <c r="N287" s="26"/>
      <c r="O287" s="26"/>
    </row>
    <row r="307" spans="12:15" x14ac:dyDescent="0.3">
      <c r="L307" s="39" t="s">
        <v>568</v>
      </c>
      <c r="M307" s="39"/>
      <c r="N307" s="39"/>
      <c r="O307" s="39"/>
    </row>
    <row r="308" spans="12:15" x14ac:dyDescent="0.3">
      <c r="L308" s="39"/>
      <c r="M308" s="39"/>
      <c r="N308" s="39"/>
      <c r="O308" s="39"/>
    </row>
    <row r="309" spans="12:15" x14ac:dyDescent="0.3">
      <c r="L309" s="39"/>
      <c r="M309" s="39"/>
      <c r="N309" s="39"/>
      <c r="O309" s="39"/>
    </row>
    <row r="310" spans="12:15" x14ac:dyDescent="0.3">
      <c r="L310" s="38" t="s">
        <v>394</v>
      </c>
      <c r="M310" s="38"/>
      <c r="N310" s="35">
        <f>COUNTIF(J4:J193,"Often")</f>
        <v>37</v>
      </c>
      <c r="O310" s="35"/>
    </row>
    <row r="311" spans="12:15" x14ac:dyDescent="0.3">
      <c r="L311" s="38"/>
      <c r="M311" s="38"/>
      <c r="N311" s="35"/>
      <c r="O311" s="35"/>
    </row>
    <row r="312" spans="12:15" x14ac:dyDescent="0.3">
      <c r="L312" s="38" t="s">
        <v>399</v>
      </c>
      <c r="M312" s="38"/>
      <c r="N312" s="35">
        <f>COUNTIF(N32:N221,"No")</f>
        <v>75</v>
      </c>
      <c r="O312" s="35"/>
    </row>
    <row r="313" spans="12:15" ht="14.55" customHeight="1" x14ac:dyDescent="0.3">
      <c r="L313" s="38"/>
      <c r="M313" s="38"/>
      <c r="N313" s="35"/>
      <c r="O313" s="35"/>
    </row>
    <row r="314" spans="12:15" ht="14.55" customHeight="1" x14ac:dyDescent="0.3">
      <c r="L314" s="38" t="s">
        <v>397</v>
      </c>
      <c r="M314" s="38"/>
      <c r="N314" s="35">
        <f>COUNTIF(J4:J193,"Sometimes")</f>
        <v>66</v>
      </c>
      <c r="O314" s="35"/>
    </row>
    <row r="315" spans="12:15" ht="14.55" customHeight="1" x14ac:dyDescent="0.3">
      <c r="L315" s="38"/>
      <c r="M315" s="38"/>
      <c r="N315" s="35"/>
      <c r="O315" s="35"/>
    </row>
    <row r="316" spans="12:15" ht="14.55" customHeight="1" x14ac:dyDescent="0.3">
      <c r="L316" s="38" t="s">
        <v>395</v>
      </c>
      <c r="M316" s="38"/>
      <c r="N316" s="35">
        <f>COUNTIF(J4:J193,"Never")</f>
        <v>61</v>
      </c>
      <c r="O316" s="35"/>
    </row>
    <row r="317" spans="12:15" ht="14.55" customHeight="1" x14ac:dyDescent="0.3">
      <c r="L317" s="38"/>
      <c r="M317" s="38"/>
      <c r="N317" s="35"/>
      <c r="O317" s="35"/>
    </row>
    <row r="318" spans="12:15" ht="14.55" customHeight="1" x14ac:dyDescent="0.3">
      <c r="L318" s="27"/>
      <c r="M318" s="27"/>
      <c r="N318" s="26"/>
      <c r="O318" s="26"/>
    </row>
    <row r="319" spans="12:15" ht="14.55" customHeight="1" x14ac:dyDescent="0.3">
      <c r="L319" s="27"/>
      <c r="M319" s="27"/>
      <c r="N319" s="26"/>
      <c r="O319" s="26"/>
    </row>
    <row r="320" spans="12:15" ht="14.55" customHeight="1" x14ac:dyDescent="0.3">
      <c r="L320" s="27"/>
      <c r="M320" s="27"/>
      <c r="N320" s="26"/>
      <c r="O320" s="26"/>
    </row>
    <row r="321" spans="12:15" ht="14.55" customHeight="1" x14ac:dyDescent="0.3">
      <c r="L321" s="27"/>
      <c r="M321" s="27"/>
      <c r="N321" s="26"/>
      <c r="O321" s="26"/>
    </row>
    <row r="322" spans="12:15" ht="14.55" customHeight="1" x14ac:dyDescent="0.3">
      <c r="L322" s="27"/>
      <c r="M322" s="27"/>
      <c r="N322" s="26"/>
      <c r="O322" s="26"/>
    </row>
    <row r="323" spans="12:15" ht="14.55" customHeight="1" x14ac:dyDescent="0.3">
      <c r="L323" s="27"/>
      <c r="M323" s="27"/>
      <c r="N323" s="26"/>
      <c r="O323" s="26"/>
    </row>
  </sheetData>
  <mergeCells count="39">
    <mergeCell ref="L279:O281"/>
    <mergeCell ref="K258:L259"/>
    <mergeCell ref="M258:N259"/>
    <mergeCell ref="L307:O309"/>
    <mergeCell ref="L310:M311"/>
    <mergeCell ref="N310:O311"/>
    <mergeCell ref="L316:M317"/>
    <mergeCell ref="N316:O317"/>
    <mergeCell ref="L282:M283"/>
    <mergeCell ref="N282:O283"/>
    <mergeCell ref="L284:M285"/>
    <mergeCell ref="N284:O285"/>
    <mergeCell ref="L312:M313"/>
    <mergeCell ref="N312:O313"/>
    <mergeCell ref="L314:M315"/>
    <mergeCell ref="N314:O315"/>
    <mergeCell ref="K254:L255"/>
    <mergeCell ref="K246:L247"/>
    <mergeCell ref="K248:L253"/>
    <mergeCell ref="K243:P245"/>
    <mergeCell ref="M252:N253"/>
    <mergeCell ref="M254:N255"/>
    <mergeCell ref="O252:P253"/>
    <mergeCell ref="O254:P255"/>
    <mergeCell ref="M246:N247"/>
    <mergeCell ref="O246:P247"/>
    <mergeCell ref="M248:N249"/>
    <mergeCell ref="O248:P249"/>
    <mergeCell ref="M250:N251"/>
    <mergeCell ref="O250:P251"/>
    <mergeCell ref="A1:P1"/>
    <mergeCell ref="G195:J195"/>
    <mergeCell ref="N216:O217"/>
    <mergeCell ref="N218:O219"/>
    <mergeCell ref="N220:O221"/>
    <mergeCell ref="L214:O215"/>
    <mergeCell ref="L220:M221"/>
    <mergeCell ref="L218:M219"/>
    <mergeCell ref="L216:M217"/>
  </mergeCells>
  <pageMargins left="0.7" right="0.7"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2025-11-27T07:30:22Z</dcterms:modified>
</cp:coreProperties>
</file>